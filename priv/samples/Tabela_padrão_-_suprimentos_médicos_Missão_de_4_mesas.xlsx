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smile.sharepoint.com/sites/OSBrasil/programas/Programas Cirúrgicos/Programas 2026/São Paulo/Logística/Suprimentos Médicos/"/>
    </mc:Choice>
  </mc:AlternateContent>
  <xr:revisionPtr revIDLastSave="0" documentId="8_{1F9B6412-3505-4EF1-A94D-DCB6298C5C0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sumo " sheetId="6" state="hidden" r:id="rId1"/>
    <sheet name="Tabela padrão - Suprimentos méd" sheetId="1" r:id="rId2"/>
    <sheet name="Planilha1" sheetId="7" state="hidden" r:id="rId3"/>
  </sheets>
  <definedNames>
    <definedName name="_xlnm._FilterDatabase" localSheetId="0" hidden="1">'Resumo '!$A$1:$H$19</definedName>
    <definedName name="_xlnm._FilterDatabase" localSheetId="1" hidden="1">'Tabela padrão - Suprimentos méd'!$A$1:$G$328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7" l="1"/>
  <c r="F21" i="7"/>
  <c r="F13" i="7"/>
  <c r="C14" i="6" l="1"/>
  <c r="C9" i="6"/>
  <c r="C16" i="6" l="1"/>
  <c r="C18" i="6"/>
  <c r="C13" i="6"/>
  <c r="C7" i="6"/>
  <c r="C3" i="6"/>
  <c r="C2" i="6" l="1"/>
  <c r="C17" i="6"/>
  <c r="C4" i="6"/>
  <c r="C8" i="6"/>
  <c r="C12" i="6"/>
  <c r="C10" i="6"/>
  <c r="C5" i="6"/>
  <c r="C11" i="6"/>
  <c r="B21" i="1"/>
  <c r="C6" i="6" l="1"/>
  <c r="C1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Coordenação de Suprimentos</author>
  </authors>
  <commentList>
    <comment ref="A127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Coordenação de Suprimentos:</t>
        </r>
        <r>
          <rPr>
            <sz val="9"/>
            <color indexed="81"/>
            <rFont val="Segoe UI"/>
            <family val="2"/>
          </rPr>
          <t xml:space="preserve">
Guias de intubação entre os tamanhos 2.5 mm a 4.5mm. Autorizado pelo Mauricio. 
</t>
        </r>
      </text>
    </comment>
    <comment ref="A273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Coordenação de Suprimentos:</t>
        </r>
        <r>
          <rPr>
            <sz val="9"/>
            <color indexed="81"/>
            <rFont val="Segoe UI"/>
            <family val="2"/>
          </rPr>
          <t xml:space="preserve">
Coordenação de Suprimentos:
Guias de intubação entre os tamanhos 8.5 mm a 11 mm. Autorizado pelo Mauricio. </t>
        </r>
      </text>
    </comment>
    <comment ref="A274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Coordenação de Suprimentos:</t>
        </r>
        <r>
          <rPr>
            <sz val="9"/>
            <color indexed="81"/>
            <rFont val="Segoe UI"/>
            <family val="2"/>
          </rPr>
          <t xml:space="preserve">
Coordenação de Suprimentos:
Guias de intubação entre os tamanhos 5.0 mm a 8.0mm. Autorizado pelo Mauricio. </t>
        </r>
      </text>
    </comment>
  </commentList>
</comments>
</file>

<file path=xl/sharedStrings.xml><?xml version="1.0" encoding="utf-8"?>
<sst xmlns="http://schemas.openxmlformats.org/spreadsheetml/2006/main" count="1731" uniqueCount="556">
  <si>
    <t>NCM</t>
  </si>
  <si>
    <t>ADAPTADOR VACUNTAINER PARA COLETA DE SANGUE A VACUO</t>
  </si>
  <si>
    <t>ADENOSINA 3MG/ML - AMPOLA 2ML -SOLUCAO INJETAVEL</t>
  </si>
  <si>
    <t>ADRENALINA 1MG/ML AMPOLA 1ML SOLUCAO INJETAVEL</t>
  </si>
  <si>
    <t>AGUA DESTILADA PARA INJEÇÃO - BOLSA 500ML - SOLUÇÃO INJETÁVEL</t>
  </si>
  <si>
    <t>AGULHA DE INFUSAO INTRA-OSSEA 18 GA</t>
  </si>
  <si>
    <t>ABAIXADOR DE LINGUA MADEIRA PCT C/100</t>
  </si>
  <si>
    <t>AGULHA ESPINHAL PARA RAQUIANESTESIA 22G X 1 1/2</t>
  </si>
  <si>
    <t>AGULHA ESPINHAL PARA RAQUIANESTESIA 22G X 3 1/2</t>
  </si>
  <si>
    <t>AGULHA ESPINHAL PARA RAQUIANESTESIA 26G X 3 1/2</t>
  </si>
  <si>
    <t>AGULHA HIPODERMICA DESCARTAVEL 19G 1.1 (30X10)</t>
  </si>
  <si>
    <t>AGULHA HIPODERMICA  DESCARTAVEL 21GX1.1/2 (40X08)</t>
  </si>
  <si>
    <t>AGULHA HIPODERMICA DESCARTAVEL 22G X 1 (25X07)</t>
  </si>
  <si>
    <t>AGULHA HIPODERMICA DESCARTAVEL 23GX1(25X6)</t>
  </si>
  <si>
    <t>AGULHA HIPODERMICA DESCARTAVEL 25G X 5/8" (25X08)</t>
  </si>
  <si>
    <t>AGULHA HIPODERMICA DESCARTAVEL 27GX1/2 (13X4.0)</t>
  </si>
  <si>
    <t>AMINOFILINA 250 MG (25MG/ML) - AMPOLA 10 ML - SOLUÇÃO INJETÁVEL</t>
  </si>
  <si>
    <t>AMIODARONA 50MG/ML-AMPOLA 3 ML-SOLUCAO INJETAVEL</t>
  </si>
  <si>
    <t>AMOXICILINA 250MG/5ML-SUPENSAO ORAL-FRASCO</t>
  </si>
  <si>
    <t>ASPIRADOR CIRURGICO C/EXTENSAO 3.0 METROS-CANULA YANKAUER</t>
  </si>
  <si>
    <t>AVENTAL CIRURGICO DES ESTERIL TAM EXTRA GRANDE</t>
  </si>
  <si>
    <t>AZITROMICINA 500 MG - COMPRIMIDOS</t>
  </si>
  <si>
    <t>AZUL DE METILENO 1% - AMPOLA 2ML - SOLUCAO ESTERIL</t>
  </si>
  <si>
    <t>BALAO DE SILICONE 500ML</t>
  </si>
  <si>
    <t>BALAO DE SILICONE 1000ML</t>
  </si>
  <si>
    <t>BALAO DE SILICONE 1500 ML</t>
  </si>
  <si>
    <t>BALAO DE SILICONE 2000 ML</t>
  </si>
  <si>
    <t>BALAO DE SILICONE 3000 ML</t>
  </si>
  <si>
    <t>BISTURI DESCARTAVEL ESTERIL COM LAMINA #15</t>
  </si>
  <si>
    <t xml:space="preserve">Classificação </t>
  </si>
  <si>
    <t xml:space="preserve">Itens cirúrgicos </t>
  </si>
  <si>
    <t>BROMIDRATO DE FENOTEROL 5MG/ML - SOLUÇÃO PARA NEBULIZAÇÃO</t>
  </si>
  <si>
    <t>BROMIDRATO DE FENOTEROL 100MCG 10ML  AEROSOL</t>
  </si>
  <si>
    <t>CAMPO CIRURGICO DESCARTAVEL ESTERIL 1.50M X 1.50M</t>
  </si>
  <si>
    <t>CATETER INTRAVENOSO COM AGULHA 20 GA</t>
  </si>
  <si>
    <t>ÁCIDO TRANEXÂMICO 5ML</t>
  </si>
  <si>
    <t>CAMPO PARA MESA DE INSTRUMENTAL OU MESA AUXILIAR ESTERIL  1.80 M X 1.25 M</t>
  </si>
  <si>
    <t xml:space="preserve">CAMPO PARA MESA DE MAYO  ESTERIL 60 CM X 1.40 MT </t>
  </si>
  <si>
    <t>90181490</t>
  </si>
  <si>
    <t>CANETA PARA ELETROCAUTERIO DESCARTAVEL</t>
  </si>
  <si>
    <t>90189099</t>
  </si>
  <si>
    <t>CANULA DE GUEDEL 60MM NR. 1</t>
  </si>
  <si>
    <t>CANULA DE GUEDEL 80MM NR. 2</t>
  </si>
  <si>
    <t>CANULA DE GUEDEL 90MM NR. 3</t>
  </si>
  <si>
    <t>CANULA NASAL DE OXIGENIO TIPO OCULOS</t>
  </si>
  <si>
    <t>CANULA NASOFARINGEA 12FR - 4.0 MM</t>
  </si>
  <si>
    <t>CANULA NASOFARINGEA 14FR - 4.5 MM</t>
  </si>
  <si>
    <t>CANULA NASOFARINGEA 16FR - 5.5 MM</t>
  </si>
  <si>
    <t>CANULA NASOFARINGEA 20FR - 6.5 MM</t>
  </si>
  <si>
    <t>CANULA PLASTICA PARA TRAQUEOSTOMIA - TAM. 10 - DESCARTAVEL</t>
  </si>
  <si>
    <t>CANULA PLASTICA PARA TRAQUEOSTOMIA - TAM. 3 - DESCARTAVEL</t>
  </si>
  <si>
    <t>CANULA PLASTICA PARA TRAQUEOSTOMIA - TAM. 3.5 - DESCARTAVEL</t>
  </si>
  <si>
    <t>CANULA PLASTICA PARA TRAQUEOSTOMIA - TAM. 4 - DESCARTAVEL</t>
  </si>
  <si>
    <t>CANULA PLASTICA PARA TRAQUEOSTOMIA - TAM. 6 - DESCARTAVEL</t>
  </si>
  <si>
    <t>CANULA PLASTICA PARA TRAQUEOSTOMIA - TAM. 8 - DESCARTAVEL</t>
  </si>
  <si>
    <t>CATETER INTRAVENOSO COM AGULHA 16 GA</t>
  </si>
  <si>
    <t>CATETER INTRAVENOSO COM AGULHA 18 GA</t>
  </si>
  <si>
    <t>CATETER INTRAVENOSO COM AGULHA 22 GA</t>
  </si>
  <si>
    <t>CATETER INTRAVENOSO COM AGULHA 24 GA</t>
  </si>
  <si>
    <t>CETOROLACO DE TROMETAMINA 30MG/ML</t>
  </si>
  <si>
    <t>CLORETO DE CÁLCIO 10% - 100 MG/ML - AMPOLA 10 ML</t>
  </si>
  <si>
    <t>CLORETO DE SÓDIO 0.9% - AMPOLA 10ML - SOLUÇÃO INJETÁVEL</t>
  </si>
  <si>
    <t>CEFAZOLINA 1GR  - PÓ PARA SOLUÇÃO INJETÁVEL</t>
  </si>
  <si>
    <t>CEFOTAXIMA SODICA 1GR - PÓ PARA SOLUÇÃO INJETÁVEL</t>
  </si>
  <si>
    <t>CLOREXIDINA 2% - SOLUÇÃO DEGERMANTE ALCOOLICA - FRASCO 100 ML</t>
  </si>
  <si>
    <t>CLORIDRATO DE ETILEFRINA - 10MG/ML - AMPOLA 1ML</t>
  </si>
  <si>
    <t>CLORIDRATO DE  PROMETAZINA 50MG/ML -AMPOLA 2ML -SOLUCAO INJETAVEL</t>
  </si>
  <si>
    <t>COLETOR DE SECRECOES 3.500ML-NAO ESTERIL</t>
  </si>
  <si>
    <t>COLETOR PERFURO CORTANTE 07 LITROS</t>
  </si>
  <si>
    <t>COMPRESSA DE GAZE HIDROFILA 7.5CM X 7.5CM-PCT C/500</t>
  </si>
  <si>
    <t>CONECTOR UNIAO RETO 1/4X1/4</t>
  </si>
  <si>
    <t>CONECTOR EM “T DE AYRES” ADICIONAL DE GASES INF.PARA BARAKA</t>
  </si>
  <si>
    <t>CONECTOR PSU GIRAT  ANG SEM ABERTURA</t>
  </si>
  <si>
    <t>COPO PLASTICO DESCARTAVEL 50ML - PACOTE C/100 UNID</t>
  </si>
  <si>
    <t xml:space="preserve">CURATIVO ADESIVO </t>
  </si>
  <si>
    <t>CURATIVO PÓS PUNÇÃO (BLOOD STOP) - CAIXA C/ 500 UNIDADES</t>
  </si>
  <si>
    <t>DIPIRONA SÓDICA 500MG/ML - AMPOLA 2 ML - SOLUÇÃO INJETÁVEL</t>
  </si>
  <si>
    <t>DRENO DE PENROSE TAM 2 (19MMX13MMX30CM)</t>
  </si>
  <si>
    <t>DRENO DE PENROSE TAM 1 (11MMX6MMX30CM)</t>
  </si>
  <si>
    <t>DRENO DE PENROSE TAM 3 (16MMX10MMX30CM)</t>
  </si>
  <si>
    <t>ENVELOPE P/ ESTERILIZACAO C/ AUTOSELANTE-250MMX380MM</t>
  </si>
  <si>
    <t>ENVELOPE P/ ESTERILIZACAO C/ AUTOSELANTE 90MMX260</t>
  </si>
  <si>
    <t>RETINOL+AMINOACIDO+METIONINA+CLORANFENICOL - POMADA USO TOPICO - BISNAGA 3.5 GR</t>
  </si>
  <si>
    <t>EQUIPO COM CAMARA GRADUADA (BURETA)150 ML</t>
  </si>
  <si>
    <t>EQUIPO INFUSOR 02 VIAS C/ PINCA CORTA FLUXO</t>
  </si>
  <si>
    <t>EQUIPO MACROGOTAS COM INJETOR LATERAL</t>
  </si>
  <si>
    <t>ESCOVA DE PVPI DEGERMANTE 10%</t>
  </si>
  <si>
    <t>EQUIPO MICROGOTAS COM INJETOR LATERAL</t>
  </si>
  <si>
    <t>ESPARADRAPO IMPERMEAVEL 100 MM X 4.5 MT</t>
  </si>
  <si>
    <t>ESPARADRAPO IMPERMEAVEL 25MM X 4.5</t>
  </si>
  <si>
    <t>ETOMIDATO 2MG/ML -AMPOLA 10 ML -SOLUCA INJETAVEL</t>
  </si>
  <si>
    <t>EXTENSÃO PARA ASPIRAÇÃO CIRURGICA 4.0 METROS</t>
  </si>
  <si>
    <t>FILTRO BARREIRA ANESTESIA - TAM. ADULTO</t>
  </si>
  <si>
    <t>FILTRO BARREIRA ANESTESIA - TAM. PEDIÁTRICO</t>
  </si>
  <si>
    <t>FITA MEDIPORE 25 MMX 9.1 MT</t>
  </si>
  <si>
    <t>FITA PARA AUTOCLAVE 19CM X 30CM</t>
  </si>
  <si>
    <t>FUROSEMIDA 10MG/ML AMPOLA 2 ML SOLUCAO INJETAVEL</t>
  </si>
  <si>
    <t xml:space="preserve">Medicamento </t>
  </si>
  <si>
    <t xml:space="preserve">GARROTE LATEX FREE </t>
  </si>
  <si>
    <t>GEL LUBRIFICANTE CIRURGICO ESTÉRIL - SACHÊ</t>
  </si>
  <si>
    <t>GLICOSE 50% - AMPOLA 10ML - SOLUÇÃO INJETÁVEL</t>
  </si>
  <si>
    <t>30049099</t>
  </si>
  <si>
    <t>GORRO CIRURGICO TIPO SANFONADO DESC PCT C/100 UNI</t>
  </si>
  <si>
    <t>HASTES FLEXIVEIS C/PONTA DE ALGODAO COTONETE CX 75</t>
  </si>
  <si>
    <t>56012190</t>
  </si>
  <si>
    <t>HIDROCORTISONA 500MG INJETÁVEL</t>
  </si>
  <si>
    <t>30043933</t>
  </si>
  <si>
    <t>IBUPROFENO 100MG/ML - GOTAS - FRASCO 20ML</t>
  </si>
  <si>
    <t xml:space="preserve">BROMETO DE IPRATRÓPIO 0,25MG/ML - FRASCO 20ML </t>
  </si>
  <si>
    <t>IBUPROFENO 200 MG - COMPRIMIDO</t>
  </si>
  <si>
    <t>KIT PARA RETIRADA DE PONTOS (TESOURA+PINCA)</t>
  </si>
  <si>
    <t>KIT PARA TRICOMIA (REMOCAO DE PELOS)</t>
  </si>
  <si>
    <t>LAMINA BISTURI ACO CARBONO #11</t>
  </si>
  <si>
    <t>LAMINA BISTURI ACO CARBONO #12</t>
  </si>
  <si>
    <t>LAMINA BISTURI ACO CARBONO #15</t>
  </si>
  <si>
    <t>LAMINA BISTURI ACO CARBONO #10</t>
  </si>
  <si>
    <t>LENÇOL DESCARTAVEL MULTIUSO 80 CM X 1.50 MT</t>
  </si>
  <si>
    <t>LORATADINA 10MG - COMPRIMIDO</t>
  </si>
  <si>
    <t>30049069</t>
  </si>
  <si>
    <t>UNIDADE DE MEDIDA</t>
  </si>
  <si>
    <t>UNIDADE</t>
  </si>
  <si>
    <t>LORATADINA 1MG/ML - FRASCO 100ML - XAROPE</t>
  </si>
  <si>
    <t>LUVA CIRURGICA ESTERIL TAM 6.5</t>
  </si>
  <si>
    <t xml:space="preserve">LUVA CIRURGICA ESTÉRIL TAM. 6.5 - SEM LATEX </t>
  </si>
  <si>
    <t xml:space="preserve">LUVA CIRURGICA ESTÉRIL TAM. 6.5 - SEM TALCO </t>
  </si>
  <si>
    <t>LUVA CIRURGICA ESTÉRIL TAM 7.0</t>
  </si>
  <si>
    <t>LUVA CIRURGICA ESTÉRIL TAM. 7.0 SEM LATEX</t>
  </si>
  <si>
    <t xml:space="preserve">LUVA CIRURGICA ESTÉRIL TAM 7.0 SEM TALCO </t>
  </si>
  <si>
    <t>LUVA CIRURGICA ESTÉRIL TAM 7.5</t>
  </si>
  <si>
    <t>LUVA CIRURGICA ESTÉRIL TAM. 7.5 SEM LATEX</t>
  </si>
  <si>
    <t>LUVA CIRURGICA ESTÉRIL TAM 7.5 SEM TALCO</t>
  </si>
  <si>
    <t>LUVA CIRURGICA ESTÉRIL  TAM 8.0</t>
  </si>
  <si>
    <t>LUVA CIRURGICA ESTÉRIL TAM 8.0 SEM TALCO</t>
  </si>
  <si>
    <t>LUVA CIRURGICA ESTÉRIL TAM. 8.0 SEM LATEX</t>
  </si>
  <si>
    <t>LUVA CIRURGICA ESTERIL TAM 8.5</t>
  </si>
  <si>
    <t>40151900</t>
  </si>
  <si>
    <t>LUVA PROCEDIMENTO-TAM P C/ 100 UNID</t>
  </si>
  <si>
    <t>LUVA PROCEDIMENTO TAM G C/ 100 UNID</t>
  </si>
  <si>
    <t>LUVA PROCEDIMENTO TAM M C/ 100 UNID</t>
  </si>
  <si>
    <t>LUVA PROCEDIMENTO TAM M SEM LATEX C/ 100 UNID</t>
  </si>
  <si>
    <t>MASCARA FACIAL FLEXIVEL PARA ANESTESIA - INFANTIL PEQUENA ( 2 A 5 ANOS)</t>
  </si>
  <si>
    <t>MASCARA FACIAL FLEXIVEL PARA ANESTESIA - LACTENTE  (0 A 2 ANOS)</t>
  </si>
  <si>
    <t>MASCARA LARINGEA TAM 1.0</t>
  </si>
  <si>
    <t>MASCARA LARINGEA TAM 1.5</t>
  </si>
  <si>
    <t>MASCARA LARINGEA TAM 2.0</t>
  </si>
  <si>
    <t>MASCARA LARINGEA TAM 2.5</t>
  </si>
  <si>
    <t>MASCARA LARINGEA TAM 3.0</t>
  </si>
  <si>
    <t>MASCARA LARINGEA TAM 4.0</t>
  </si>
  <si>
    <t>MASCARA LARINGEA TAM 5.0</t>
  </si>
  <si>
    <t>MASCARA PARA MARCO-NEBULIZACAO - ADULTO</t>
  </si>
  <si>
    <t>MASCARA PARA MACRO-NEBULIZACAO - PEDIATRICA.</t>
  </si>
  <si>
    <t>METILSULFATO DE NEOSTIGMINA 0.5 MG/ML - AMPOLA 1ML - SOLUÇÃO
INJETÁVEL</t>
  </si>
  <si>
    <t>MICRONEBULIZADOR OXIGENIO - PEDIATRICO</t>
  </si>
  <si>
    <t>MICROBULIZADOR OXIGENIO - ADULTO</t>
  </si>
  <si>
    <t xml:space="preserve">CLORIDRATO DE ONDANSETRONA 4MG/ML 2ML </t>
  </si>
  <si>
    <t>PARACETAMOL 500MG - COMPRIMIDO</t>
  </si>
  <si>
    <t>PARACETAMOL  15 ML 200MG/ML  SOLUCAO GOTAS</t>
  </si>
  <si>
    <t>30043999</t>
  </si>
  <si>
    <t>90183929</t>
  </si>
  <si>
    <t>PLACA DE ELETROCAUTERIO UNIVERSAL DUPLA C CABO 3.05</t>
  </si>
  <si>
    <t>90182020</t>
  </si>
  <si>
    <t>SOLUCAO DE POVIDINE (IODOPOVIDINE) SOLUCAO TOPICA FRASCO 100ML</t>
  </si>
  <si>
    <t>PREDNISOLONA 20MG - COMPRIMIDO</t>
  </si>
  <si>
    <t>PREDNISOLONA 3MG/ML - FRASCO 120 ML - SUSPENSÃO ORAL</t>
  </si>
  <si>
    <t>PULSEIRA HOSPITALAR - IDENTIFICAÇÃO DE PACIENTES -  ADULTO</t>
  </si>
  <si>
    <t>PULSEIRA HOSPITALAR - IDENTIFICAÇÃO DE PACIENTES -  INFANTIL</t>
  </si>
  <si>
    <t>39269090</t>
  </si>
  <si>
    <t>SACO BOLSA COLETOR DE URINA 2.000ML SISTEMA FECHADO</t>
  </si>
  <si>
    <t>SACO DE LIXO INFECTANTE BRANCO LEITOSO 50 LITROS</t>
  </si>
  <si>
    <t>SAPATILHAS CIRURGICA PROPE DESC PACOTE C/ 100</t>
  </si>
  <si>
    <t>62101000</t>
  </si>
  <si>
    <t>SERINGA HIPODERMICA DESCARTAVEL 01 ML C/ AGULHA</t>
  </si>
  <si>
    <t>90183119</t>
  </si>
  <si>
    <t>90183120</t>
  </si>
  <si>
    <t>SERINGA HIPODERMICA DESCARTAVEL 01 ML S/ AGULHA</t>
  </si>
  <si>
    <t>SERINGA HIPODERMICA DESCARTAVEL 05 ML S/ AGULHA</t>
  </si>
  <si>
    <t>SERINGA HIPODERMICA DESCARTAVEL 03 ML S/ AGULHA</t>
  </si>
  <si>
    <t>SERINGA HIPODERMICA DESCARTAVEL 10ML S/ AGULHA</t>
  </si>
  <si>
    <t>SERINGA HIPODERMICA DESCARTAVEL 20ML S/ AGULHA</t>
  </si>
  <si>
    <t>SERINGA HIPODERMICA DESCARTAVEL 60 ML - BICO TIPO CATETER - S/ AGULHA</t>
  </si>
  <si>
    <t>SONDA FOLEY 2 VIAS NR #08-GRADUADO</t>
  </si>
  <si>
    <t>SONDA DE ASPIRAÇÃO TRAQUEAL COM VALVULA NR # 08</t>
  </si>
  <si>
    <t>SONDA DE ASPIRAÇÃO TRAQUEAL COM VALVULA NR # 10</t>
  </si>
  <si>
    <t>SONDA DE ASPIRAÇÃO TRAQUEAL COM VALVULA NR # 12</t>
  </si>
  <si>
    <t>SONDA DE ASPIRAÇÃO TRAQUEAL COM VALVULA NR # 14</t>
  </si>
  <si>
    <t>TORNEIRA DE 03 VIAS-LUER LOCK</t>
  </si>
  <si>
    <t xml:space="preserve">SUCCINATO SÓDICO DE METILPREDNISOLONA 1GR </t>
  </si>
  <si>
    <t>SULFATO DE ATROPINA 0.25MG/ML - AMPOLA 1ML - SOLUÇÃO INJETÁVEL</t>
  </si>
  <si>
    <t>SULFATO DE GENTAMICINA 4MG/ML - AMPOLA 2ML - SOLUCAO INJETAVEL</t>
  </si>
  <si>
    <t>SULFATO DE NEOMICINA + BACITRACINA - POMADA USO TÓPICO</t>
  </si>
  <si>
    <t>SULFATO DE SALBUTAMOL (AEROLIN) 5MG - FRASCO 10 ML - SOLUÇÃO PARA NEBULIZAÇÃO</t>
  </si>
  <si>
    <t>SWAB HASTE PLÁSTICA - ESTÉRIL - ENVELOPE C/ 01 UNID</t>
  </si>
  <si>
    <t>TERBUTIL 0.5 MG / ML - AMPOLA 2 ML - SOLUÇÃO INJETÁVEL</t>
  </si>
  <si>
    <t>TOALHA CIRURGICA CAMPO OPERATORIO PRE-LAVADO 25X28 PCT C/ 5 UNIDADES</t>
  </si>
  <si>
    <t>TRANSPORE 100MMX4.5</t>
  </si>
  <si>
    <t>TRANSPORE 25MMX4.5</t>
  </si>
  <si>
    <t>TRAQUEIA DE SILICONE 15X15X30CM</t>
  </si>
  <si>
    <t>TUBO DE OXIGENIO (EXTENSAO PARA NEBULIZACAO)</t>
  </si>
  <si>
    <t>TUBO ENDOTRAQUEAL 3.0 MM - COM BALAO</t>
  </si>
  <si>
    <t>TUBO ENDOTRAQUEAL 5.0MM - COM BALAO</t>
  </si>
  <si>
    <t>TUBO ENDOTRAQUEAL 7.0MM - COM BALAO</t>
  </si>
  <si>
    <t>TUBO ENDOTRAQUEAL 7.5MM - COM BALAO</t>
  </si>
  <si>
    <t>TUBO ENDOTRAQUEAL 3.5 MM - COM BALAO</t>
  </si>
  <si>
    <t>TUBO ENDOTRAQUEAL 4.5 MM - COM BALAO</t>
  </si>
  <si>
    <t>TUBO ENDOTRAQUEAL PRE-FORMADO 3.5 MM - COM BALÃO</t>
  </si>
  <si>
    <t xml:space="preserve">TUBO ENDOTRAQUEAL PRE-FORMADO 4.0 MM - COM BALÃO </t>
  </si>
  <si>
    <t xml:space="preserve">TUBO ENDOTRAQUEAL PRE-FORMADO 4.5 MM - COM BALÃO </t>
  </si>
  <si>
    <t>TUBO ENDOTRAQUEAL PRE-FORMADO 5.0 MM - COM BALÃO</t>
  </si>
  <si>
    <t>TUBO ENDOTRAQUEAL PRE-FORMADO 5.5 MM - COM BALÃO</t>
  </si>
  <si>
    <t>TUBO ENDOTRAQUEAL PRE-FORMADO 6.0 MM - COM BALÃO</t>
  </si>
  <si>
    <t>TUBO ENDOTRAQUEAL PRE-FORMADO 6.5 MM - COM BALÃO</t>
  </si>
  <si>
    <t>TUBO ENDOTRAQUEAL PRE-FORMADO 7.0 MM - COM BALÃO</t>
  </si>
  <si>
    <t>TUBO ENDOTRAQUEAL PRE-FORMADO 7.5 MM - COM BALÃO</t>
  </si>
  <si>
    <t>TUBO ENDOTRAQUEAL 6.0MM - COM BALAO</t>
  </si>
  <si>
    <t>TUBO ENDOTRAQUEAL 8.0MM - SEM BALAO</t>
  </si>
  <si>
    <t>TUBO EXTENSOR 60 CM</t>
  </si>
  <si>
    <t>VASOPRESSINA- 20U/ML - AMPOLA 1 ML - SOLUÇÃO INJETÁVEL</t>
  </si>
  <si>
    <t>VERDE BRILHANTE 10% - AMPOLA 1ML - SOLUÇAO ESTERIL</t>
  </si>
  <si>
    <t>WRAP PARA ESTERILIZACAO EM AUTOCLAVE (PAPEL NAO TECIDO SMS) - 90 CM X 90 CM</t>
  </si>
  <si>
    <t>BANDAGEM ELASTICA 50MM X 4.5 MT</t>
  </si>
  <si>
    <t>FIO DE SUTURA 4-0 PROLENE AGULHA P- 2 - CAIXA C/ 24 UNID.</t>
  </si>
  <si>
    <t>FIO DE SUTURA 4-0 VICRYL RAPIDE AGULHA PS-4C - CAIXA C/ 12 UNID.</t>
  </si>
  <si>
    <t>FIO DE SUTURA 5-0 MONOCRYL AGULHA PS-2 - CAIXA C/ 12 UNID.</t>
  </si>
  <si>
    <t>FIO DE SUTURA 5-0 PROLENE AGULHA P-3 - CAIXA C/ 24 UNID.</t>
  </si>
  <si>
    <t>FIO DE SUTURA 5-0 VICRYL AGULHA P-3 - CAIXA C/ 12 UNID.</t>
  </si>
  <si>
    <t>FIO DE SUTURA 5-0 VICRYL AGULHA PS-4 - CAIXA C/ 12 UNID.</t>
  </si>
  <si>
    <t>FIO DE SUTURA 5-0 VICRYL RAPID AGULHA P-1 - CAIXA C/ 12 UNID.</t>
  </si>
  <si>
    <t>FIO DE SUTURA 5-0 VICRYL RAPID AGULHA P-3 - CAIXA C/ 12 UNID.</t>
  </si>
  <si>
    <t>FIO DE SUTURA 6-0 PROLENE AGULHA P-1 - CAIXA C/ 24 UNID.</t>
  </si>
  <si>
    <t>FIO DE SUTURA 6-0 SEDA AGULHA PS-3 - CAIXA C/ 12 UNID.</t>
  </si>
  <si>
    <t>FIO DE SUTURA 6-0 VICRYL AGULHA P3 - CAIXA C/ 12 UNID.</t>
  </si>
  <si>
    <t>FIO DE SUTURA 6-0 VICRYL AGULHA P-1 - CAIXA C/ 12 UNID.</t>
  </si>
  <si>
    <t>FIO DE SUTURA 6-0 VICRYL RAPIDE AGULHA P-1 - CAIXA C/ 12 UNID.</t>
  </si>
  <si>
    <t xml:space="preserve">SURGICEL HEMOSTÁTICO(1951) </t>
  </si>
  <si>
    <t>BROMETO DE ROCURÔNIO 10MG/ML - FRASCO 5ML - SOLUÇÃO INJETÁVEL</t>
  </si>
  <si>
    <t>CLORIDRATO DE DOPAMINA 5MG/ML - AMPOLA 5 ML - SOLUÇÃO INJETÁVEL</t>
  </si>
  <si>
    <t>CLORIDRATO DE DEXTROCETAMINA 50 MG/ML - AMPOLA  02ML</t>
  </si>
  <si>
    <t>DANTROLENO SÓDICO - PÓ LIOFILIZADO 20 MG</t>
  </si>
  <si>
    <t>EFEDRINA 50MG/ML - AMPOLA 1ML - SOLUÇÃO INJETÁVEL</t>
  </si>
  <si>
    <t>HEPARINA SÓDICA 5.000 UI/ML - AMPOLA 5ML - SOLUÇÃO INJETÁVEL</t>
  </si>
  <si>
    <t xml:space="preserve">AZITROMICINA DI-HIDRATADA 500MG - PÓ LIOFILIZADO P/ INFUSÃO -  SOLUÇÃO INJETÁVEL </t>
  </si>
  <si>
    <t>MIDAZOLAM 15 MG  - AMPOLA 03 ML - SOLUÇÃO INJETÁVEL</t>
  </si>
  <si>
    <t>FENTANIL 50 MCG/ML - AMPOLA 02 ML - SOLUÇÃO INJETÁVEL</t>
  </si>
  <si>
    <t>BUPIVACAÍNA 0.5% - SEM ADRENALINA - AMPOLA 20ML - SOLUÇÃO INJETÁVEL</t>
  </si>
  <si>
    <t>CLORIDRATO DE CLONIDINA - SOLUÇÃO INJETÁVEL 150MCG/ML - AMPOLA 1 ML</t>
  </si>
  <si>
    <t>CLORIDRATO DE ESMOLOL 10MG/ML - AMPOLA 1ML - SOLUÇÃO INJETÁVEL</t>
  </si>
  <si>
    <t>CLORIDRATO DE LIDOCAÍNA 2% - GELÉIA ESTÉRIL - BISNAGA 30GR</t>
  </si>
  <si>
    <t>CLORIDRATO DE NALBUFINA 10MG/ML - AMPOLA 10ML - SOLUÇÃO INJETÁVEL</t>
  </si>
  <si>
    <t>CLORIDRATO DE NALOXONA 0.4 MG/ML - AMPOLA 2ML - SOLUÇÃO INJETÁVEL</t>
  </si>
  <si>
    <t>DIFENIL-HIDANTOÍNA 50MG/ML - AMPOLA 5ML - SOLUÇÃO INJETÁVEL</t>
  </si>
  <si>
    <t>FLUMAZENIL 0.1 MG/ML - AMPOLA 5ML - SOLUÇÃO INJETÁVEL</t>
  </si>
  <si>
    <t>LIDOCAÍNA 10% - FRASCO 50ML - SPRAY AEROSOL</t>
  </si>
  <si>
    <t xml:space="preserve">HEMITARTARATO DE EPINEFRINA - AMPOLA 1ML - SOLUÇÃO INJETÁVEL </t>
  </si>
  <si>
    <t>FIO DE SUTURA 4-0 VICRYL AGULHA PS 4 - CAIXA C/ 12 UNID.</t>
  </si>
  <si>
    <t>FIO DE SUTURA 6-0 SEDA AGULHA PS-4 CAIXA C/ 24 UNID.</t>
  </si>
  <si>
    <t>30042029</t>
  </si>
  <si>
    <t>AGULHA HIPODERMICA DESCARTAVEL 18GX1.1/2 (40X12)</t>
  </si>
  <si>
    <t>CLORIDRATO DE LIDOCAINA 2%  20 MG/ML - SOLUÇÃO INJETÁVEL</t>
  </si>
  <si>
    <t xml:space="preserve">DIMENIDRINA B6DL - AMPOLA 10ML - SOLUÇÃO </t>
  </si>
  <si>
    <t xml:space="preserve">DESCRIÇÃO </t>
  </si>
  <si>
    <t>ALMOFADA PARA ASSEPSSIA COM ALCOOL 70% (ALCOHOL SWAB SACHE) - CAIXA C/ 200 SACHES</t>
  </si>
  <si>
    <t>MASCARA FACIAL FLEXIVEL PARA ANESTESIA - ADULTO GRANDE</t>
  </si>
  <si>
    <t>MASCARA FACIAL FLEXIVEL PARA ANESTESIA - ADULTO MEDIO</t>
  </si>
  <si>
    <t>MASCARA FACIAL FLEXIVEL PARA ANESTESIA-INFANTIL(5 A 10)</t>
  </si>
  <si>
    <t>ADESIVO PARA FIXAÇÃO DE DISPOSITIVOS INTRAVENOSOS (TEGADERM) 5 X 5.7CM</t>
  </si>
  <si>
    <t>ADESIVO PARA FIXAÇÃO DE DISPOSITIVOS INTRAVENOSOS (TEGADERM) 8.5 X 11.5CM</t>
  </si>
  <si>
    <t>COMPRESSA DE GAZE HIDROFILA ESTERIL 7.5 CM X 7.5 CM ENVELOPE C/10 UNID</t>
  </si>
  <si>
    <t>COMPRESSA DE GAZE RADIOPACA ESTERIL 7.5 CM X 7.5 CM 13 FIOS - ENVELOPE C/ 02 UNID.</t>
  </si>
  <si>
    <t xml:space="preserve">CURATIVO STERI STRIP 6MMX75MM </t>
  </si>
  <si>
    <t>ADESIVO DERMABOND 5 ML</t>
  </si>
  <si>
    <t>FIO DE SUTURA 3-0 SEDA AGULHA FS</t>
  </si>
  <si>
    <t xml:space="preserve">FIO DE SUTURA 2-0 SEDA AGULHA FS </t>
  </si>
  <si>
    <t xml:space="preserve">FIO DE SUTURA 4-0 MONOCRYL AGULHA P-3 </t>
  </si>
  <si>
    <t xml:space="preserve">FIO DE SUTURA 4-0 MONOCRYL AGULHA PS-2 </t>
  </si>
  <si>
    <t xml:space="preserve">FIO DE SUTURA 4-0 MONOCRYL AGULHA PS-4 </t>
  </si>
  <si>
    <t xml:space="preserve">FIO DE SUTURA 4-0 PROLENE AGULHA P-3 </t>
  </si>
  <si>
    <t>DIPIRONA MONOHIDRATADA 500 MG/ ML</t>
  </si>
  <si>
    <t>GUIA ESTILETE PARA INTUBAÇÃO 1-  2.5MM - 4.5MM</t>
  </si>
  <si>
    <t>GUIA ESTILETE PARA INTUBAÇÃO 2-  5.0MM - 8.0MM</t>
  </si>
  <si>
    <t>GUIA ESTILETE PARA INTUBAÇÃO 1-  8.5MM - 11MM</t>
  </si>
  <si>
    <t>ENVELOPE P/ ESTERILIZAÇÃO C/ AUTOSELANTE - 140MM X 290MM</t>
  </si>
  <si>
    <t>MASCARA CIRUGICA TRIPLA BRANCA COM TIRAS</t>
  </si>
  <si>
    <t>PACUBOX</t>
  </si>
  <si>
    <t>CONJUNTO REANIMADOR DESCARTAVEL PEDIATRICO 500ML</t>
  </si>
  <si>
    <t>CONJUNTO REANIMADOR DESCARTAVEL ADULTO 1500ML</t>
  </si>
  <si>
    <t>CAIXA DE PIJAMAS + NONO</t>
  </si>
  <si>
    <t>CAIXA-KIT PERFURO + KIT TIME + SAPATEIRA</t>
  </si>
  <si>
    <t xml:space="preserve">DIPIRONA 500MG - COMPRIMIDO </t>
  </si>
  <si>
    <t>Ativo fixo</t>
  </si>
  <si>
    <t xml:space="preserve">QUANTIDADE </t>
  </si>
  <si>
    <t xml:space="preserve">SETOR </t>
  </si>
  <si>
    <t>1 POR MESA E ESPECIALIDADE</t>
  </si>
  <si>
    <t>CAIXA</t>
  </si>
  <si>
    <t>DOAÇÃO J&amp;J</t>
  </si>
  <si>
    <t>FIO DE SUTURA 5-0 CHROMIC AGULHA P-3 - CAIXA C/ 12 UNID.</t>
  </si>
  <si>
    <t>CANULA DE GUEDEL 50MM NR. 0</t>
  </si>
  <si>
    <t xml:space="preserve">CIRCUITO DE ANESTESIA 1 L </t>
  </si>
  <si>
    <t xml:space="preserve">CIRCUITO DE ANESTESIA 1.5 L </t>
  </si>
  <si>
    <t xml:space="preserve">CIRCUITO DE ANESTESIA 2 L </t>
  </si>
  <si>
    <t>CO2 Detector Adult Easy Cap II</t>
  </si>
  <si>
    <t>CO2 Detector Pediatric Pedi-Cap 24/bx</t>
  </si>
  <si>
    <t>DEXAMETASONA 4MG/ML-AMPOLA 2,5 ML-SOLUCAO INJETAVEL</t>
  </si>
  <si>
    <t>Cloridrato de difenidramina 50mg - ampola 1ml</t>
  </si>
  <si>
    <t>TUBO ENDOTRAQUEAL 4.0 MM - COM BALAO</t>
  </si>
  <si>
    <t>TUBO ENDOTRAQUEAL 6.5MM - COM BALAO</t>
  </si>
  <si>
    <t>TUBO ENDOTRAQUEAL PRE-FORMADO 3.0 MM - COM BALÃO</t>
  </si>
  <si>
    <t>BUPIVACAÍNA 25% - COM ADRENALINA - AMPOLA 50ML 1:200,000 - SOLUÇÃO INJETÁVEL</t>
  </si>
  <si>
    <t>PROPOFOL 10MG/ML - AMPOLA 20ML - SOLUÇÃO INJETÁVEL</t>
  </si>
  <si>
    <t xml:space="preserve">BIOVIR 60 COMPRIMIDOS </t>
  </si>
  <si>
    <t>BISTURI DESCARTAVEL ESTERIL COM LAMINA #11</t>
  </si>
  <si>
    <t>ABAIXADOR DE LINGUA INFANTL</t>
  </si>
  <si>
    <t>PACOTE</t>
  </si>
  <si>
    <t>TRIAGEM - PEDIATRIA</t>
  </si>
  <si>
    <t xml:space="preserve">TRIAGEM/ PRÉ E PÓS </t>
  </si>
  <si>
    <t xml:space="preserve">ANESTESIA </t>
  </si>
  <si>
    <t>ANESTESIA</t>
  </si>
  <si>
    <t>SEVOFLURANO FRASCO 250ML</t>
  </si>
  <si>
    <t>FRALDA P</t>
  </si>
  <si>
    <t>FRALDA M</t>
  </si>
  <si>
    <t>FRALDA G</t>
  </si>
  <si>
    <t xml:space="preserve">PRÉ E PÓS/ RECUPERAÇÃO </t>
  </si>
  <si>
    <t xml:space="preserve">VERAPAMIL </t>
  </si>
  <si>
    <t xml:space="preserve">LENÇO UMIDECIDO </t>
  </si>
  <si>
    <t xml:space="preserve">LOPERAMIDA COMPRIMIDO </t>
  </si>
  <si>
    <t>Cloridrato de Fenilefrina 1ML</t>
  </si>
  <si>
    <t>Triagem - Coleta de sangue</t>
  </si>
  <si>
    <t xml:space="preserve">ANESTESIA - MEDICAMENTOS </t>
  </si>
  <si>
    <t xml:space="preserve">OR </t>
  </si>
  <si>
    <t xml:space="preserve">CRASHBOX </t>
  </si>
  <si>
    <t>OR</t>
  </si>
  <si>
    <t>PRÉ E PÓS</t>
  </si>
  <si>
    <t xml:space="preserve">KIT BASICO POR CIRURGIA </t>
  </si>
  <si>
    <t>PRÉ E PÓS/ KIT DO TIME</t>
  </si>
  <si>
    <t xml:space="preserve">KIT - ACIDENTE PERFURO CORTANTE </t>
  </si>
  <si>
    <t xml:space="preserve">PRÉ E PÓS/RECUPERAÇÃO </t>
  </si>
  <si>
    <t>CAMPO CIRURGICO DESCARTAVEL  ESTERIL 1.50M X 2.20M (</t>
  </si>
  <si>
    <t>RECUPERAÇÃO</t>
  </si>
  <si>
    <t>KIT DO TIME/PRÉ E PÓS</t>
  </si>
  <si>
    <t>CRASHBOX/PACUBOX/DAB</t>
  </si>
  <si>
    <t>OR/PRÉ E PÓS/RECUPERAÇÃO</t>
  </si>
  <si>
    <t>HM BOX</t>
  </si>
  <si>
    <t>FIO DE SUTURA</t>
  </si>
  <si>
    <t>PRÉ E PÓS/OR/RECUPERAÇÃO</t>
  </si>
  <si>
    <t>DAB</t>
  </si>
  <si>
    <t>TUBOS-ANESTESIA</t>
  </si>
  <si>
    <t>CRASHBOX</t>
  </si>
  <si>
    <t xml:space="preserve">EPI-OR </t>
  </si>
  <si>
    <t xml:space="preserve">MASCARA VENTURI ADULTO </t>
  </si>
  <si>
    <t>MASCARA VENTURI PEDIATRICO</t>
  </si>
  <si>
    <t>UMIDIFICADOR PARA OXIGENIO 250ML ADULTO</t>
  </si>
  <si>
    <t xml:space="preserve">UMIDIFICADOR PARA OXIGENIO 250ML INFANTIL </t>
  </si>
  <si>
    <t>CATETER DE ACESSO CENTRAL DUPLO 4FR X 13cm</t>
  </si>
  <si>
    <t>CATETER DE ACESSO CENTRAL DUPLO  5FR X 13cm</t>
  </si>
  <si>
    <t xml:space="preserve">SISTEMA DENAGEM TORÁCICA MEDIASTINAL 1L </t>
  </si>
  <si>
    <t>Dreno de Sucção de Tórax PVC - 10 fr</t>
  </si>
  <si>
    <t>Dreno de Sucção de Tórax PVC - 12 fr</t>
  </si>
  <si>
    <t>ALCOOL EM GEL - 500ML</t>
  </si>
  <si>
    <t xml:space="preserve">DOAÇÃO CRISTÁLIA </t>
  </si>
  <si>
    <t>MARCA: 3M</t>
  </si>
  <si>
    <t>FIO DE SUTURA 5-0 NYLON P-3</t>
  </si>
  <si>
    <t>Comprar no local - Após reunião de Team Leaders</t>
  </si>
  <si>
    <t xml:space="preserve">1 por paciente </t>
  </si>
  <si>
    <t>3 por paciente (CP full+CP OBS+Instrumentador)</t>
  </si>
  <si>
    <t>SUGAMADEX (BRIDION)</t>
  </si>
  <si>
    <t xml:space="preserve">DOAÇÃO CRISTÁLIA - NÃO PRECISA ATÉ 23 </t>
  </si>
  <si>
    <t>MASCARA REINALANTE - ADULTO</t>
  </si>
  <si>
    <t>MASCARA REINALANTE - PEDIÁTRICO</t>
  </si>
  <si>
    <t xml:space="preserve">DISPOSITIVO PARA TRANSFERÊNCIAS DE SOLUÇÕES </t>
  </si>
  <si>
    <t>KIT LARINGOSOPIO</t>
  </si>
  <si>
    <t xml:space="preserve">Pedir para o hospital </t>
  </si>
  <si>
    <t>CRASHBIX</t>
  </si>
  <si>
    <t xml:space="preserve">OBSERVAÇÃO </t>
  </si>
  <si>
    <t xml:space="preserve">FIXO - PARA TODAS AS MISSÕES </t>
  </si>
  <si>
    <t>COMPRAR NO LOCAL</t>
  </si>
  <si>
    <t xml:space="preserve">COMPRAR NO LOCAL </t>
  </si>
  <si>
    <t>CRASH BOX</t>
  </si>
  <si>
    <t xml:space="preserve">Considerar 1 ampola por paciente </t>
  </si>
  <si>
    <t>KIT DE CRICOTOMIA DE EMERGÊNCIA</t>
  </si>
  <si>
    <t xml:space="preserve">VALOR TOTAL </t>
  </si>
  <si>
    <t>STRALOG</t>
  </si>
  <si>
    <t>ALCOOL 70%</t>
  </si>
  <si>
    <t>CELMAT</t>
  </si>
  <si>
    <t>MNP</t>
  </si>
  <si>
    <t>CRASHBOX - não precisa</t>
  </si>
  <si>
    <t>MEDSUL</t>
  </si>
  <si>
    <t>DOAÇÃO CRISTÁLIA</t>
  </si>
  <si>
    <t>CIRURGICA ATLANTICA</t>
  </si>
  <si>
    <t>CLARAMED</t>
  </si>
  <si>
    <t>KALUNGA</t>
  </si>
  <si>
    <t>SUPER EPI</t>
  </si>
  <si>
    <t xml:space="preserve">VERBENNA </t>
  </si>
  <si>
    <t>NEWMED</t>
  </si>
  <si>
    <t>HOSPITALAR</t>
  </si>
  <si>
    <t>OSI</t>
  </si>
  <si>
    <t>CIRURGICA ESTILO</t>
  </si>
  <si>
    <t>FIBRA CIRÚRGICA</t>
  </si>
  <si>
    <t xml:space="preserve">PRODUTOS HOSPITALARES ONLINE </t>
  </si>
  <si>
    <t>verificar trunk medical records</t>
  </si>
  <si>
    <t xml:space="preserve">CIRURGICA PASSOS </t>
  </si>
  <si>
    <t xml:space="preserve">MAGAZINE MÉDICA </t>
  </si>
  <si>
    <t xml:space="preserve">UTILIDADES MÉDICAS </t>
  </si>
  <si>
    <t xml:space="preserve">FORNECEDOR </t>
  </si>
  <si>
    <t xml:space="preserve">VALOR ORÇAMENTO </t>
  </si>
  <si>
    <t xml:space="preserve">FORMA DE PAGAMENTO </t>
  </si>
  <si>
    <t xml:space="preserve">LOCAL DE ENTREGA </t>
  </si>
  <si>
    <t xml:space="preserve">DADOS DE PAGAMENTO </t>
  </si>
  <si>
    <t xml:space="preserve">STATUS DA COMPRA </t>
  </si>
  <si>
    <t xml:space="preserve">NOTA FISCAL </t>
  </si>
  <si>
    <t xml:space="preserve">CARTÃO DE CRÉDITO </t>
  </si>
  <si>
    <t>ESCRITÓRIO</t>
  </si>
  <si>
    <t xml:space="preserve">À VISTA </t>
  </si>
  <si>
    <t>Nº</t>
  </si>
  <si>
    <t>NEWMED PRODUTOS PARA SAUDE LTDA - PIX CNPJ: 1aeb7ac5-8299-42fb-aad3-89bfb82ef807</t>
  </si>
  <si>
    <t>Banco Santander 
Agencia 4628 C/c 13003351-0
Cnpj :99.000.111/0001-65</t>
  </si>
  <si>
    <t>CNPJ: 11222333000181</t>
  </si>
  <si>
    <t>Banco Bradesco
Ag. 0287
C/C 4553-5
VAD MEDICAL</t>
  </si>
  <si>
    <t>PIX:  55.666.777/0001-81 CIRURGICA ATLANTICA C.MAT.CIR.HO.SO. LTDA</t>
  </si>
  <si>
    <t>Não é possivel mais realizar compras</t>
  </si>
  <si>
    <t xml:space="preserve">REALIZAR PAGAMENTO </t>
  </si>
  <si>
    <t>COMPRADO SITE</t>
  </si>
  <si>
    <t>CARTÃO DE CRÉDITO</t>
  </si>
  <si>
    <t>Newvita</t>
  </si>
  <si>
    <t>Banco: Bradesco                                                 
 7808-5                               
Conta corrente. 0008367-4
CNPJ 88.999.000/0001-98</t>
  </si>
  <si>
    <t xml:space="preserve">NF </t>
  </si>
  <si>
    <t>PLACA DE ELETROCAUTERIO UNIVERSAL DUPLA S CABO 3.05</t>
  </si>
  <si>
    <t>AGUA DESTILADA PARA INJEÇÃO - AMPOLA 10ML - SOLUÇÃ+A1:P376O INJETÁVEL</t>
  </si>
  <si>
    <t>Caixa</t>
  </si>
  <si>
    <t>OR 06</t>
  </si>
  <si>
    <t>AN 20</t>
  </si>
  <si>
    <t>AN 15</t>
  </si>
  <si>
    <t>DAB 01 / AN 15</t>
  </si>
  <si>
    <t>OK</t>
  </si>
  <si>
    <t>TUBO ENDOTRAQUEAL 4.0MM - COM BALAO</t>
  </si>
  <si>
    <t>TUBO ENDOTRAQUEAL 8.5MM - SEM BALAO</t>
  </si>
  <si>
    <t>CANULA DE GUEDEL 90MM NR. 4</t>
  </si>
  <si>
    <t>SERINGA HIPODERMICA DESCARTAVEL 01 ML COM AGULHA</t>
  </si>
  <si>
    <t xml:space="preserve">CANULA NASOFARINGEA 18FR </t>
  </si>
  <si>
    <t>CÂNULA NASOFARÍNGEA 28FR</t>
  </si>
  <si>
    <t>CÂNULA NASOFARÍNGEA 24FR</t>
  </si>
  <si>
    <t>CÂNULA NASOFARÍNGEA 22FR</t>
  </si>
  <si>
    <t>ELETRODO UNIVERSAL</t>
  </si>
  <si>
    <t xml:space="preserve">IDOPOLIVIDONA 100MG/ML SOLUÇÃO AQUOSA </t>
  </si>
  <si>
    <t>Medicações</t>
  </si>
  <si>
    <t>Quantidade</t>
  </si>
  <si>
    <t>XYLESTESIN CLORIDRATO DE LIDOCAÍNA 2,0% 20MG/ML 20ML</t>
  </si>
  <si>
    <t>UN</t>
  </si>
  <si>
    <t>XYLESTESIN LIDOCAÍNA 10% 100MG/ML - 50ML</t>
  </si>
  <si>
    <t>DAB 01</t>
  </si>
  <si>
    <t>SEVOFLURANO SOL INA 250ML</t>
  </si>
  <si>
    <t>DANTROLEN IV DANTROLENO SÓDICO 20MG</t>
  </si>
  <si>
    <t xml:space="preserve"> - </t>
  </si>
  <si>
    <t>SULFATO DE TERBUTALINA 0,5 MG - 1 ML</t>
  </si>
  <si>
    <t>OR 11</t>
  </si>
  <si>
    <t>AEROFIN SPRAY - SALBUTAMOL 100 MCG/DOSE 200 DOSES</t>
  </si>
  <si>
    <t>NARIDRIN - CLORIDRATO DE NAFAZOLINA + MALEATO DE MEPIRAMINA + DEXPANTENOL 1MG/ML + 0,2MG/ML + 5MG/ML</t>
  </si>
  <si>
    <t>4N5849</t>
  </si>
  <si>
    <t>ETILEFRIL CLOR. DE ETILEDFRINA 10MG/ML 1ML ADUL/PED</t>
  </si>
  <si>
    <t>SUCCITRAT - CLORE. DE SUXAMETÔNIO 100MG</t>
  </si>
  <si>
    <t>FOSFATO SÓDICO DE DEXAMETASONA 4MG/ML IV/IM</t>
  </si>
  <si>
    <t>DX25B025</t>
  </si>
  <si>
    <t>BRIDION 200 MG/ML - 2ML</t>
  </si>
  <si>
    <t>A102959</t>
  </si>
  <si>
    <t>FENILEFRIN - CLORIDRATO DE FENILEFRINA 10MG/ML - 1ML</t>
  </si>
  <si>
    <t>PARINEX - HEPARINA SÓDICA SUÍNA - 5ML</t>
  </si>
  <si>
    <t>U027/25</t>
  </si>
  <si>
    <t>TROMETAMOL CETOROLACO 30MG/ML - 1ML I.M./I.V.</t>
  </si>
  <si>
    <t>BH-007/24</t>
  </si>
  <si>
    <t>NORMASTIG METILSULFATO DE NEOSTIGMINA 0,5MG/ML</t>
  </si>
  <si>
    <t>2523019H</t>
  </si>
  <si>
    <t>CEFAZOLINA SÓDICA 1MG VIA INTRAVENOSA</t>
  </si>
  <si>
    <t>AV-002/25</t>
  </si>
  <si>
    <t>FUROSEMIDA 10MG/ML - 2ML</t>
  </si>
  <si>
    <t>CLORID. DE AMIODARONA 50MG/ML - 3ML</t>
  </si>
  <si>
    <t>AD-027/24</t>
  </si>
  <si>
    <t>DIFENIDRIN CLORID. DE DIFENIDRAMINA 50MG/ML - 1 ML</t>
  </si>
  <si>
    <t>UNIFEDRINE 50MG/ML - SULFATO DE EFEDRINA - 1 ML</t>
  </si>
  <si>
    <t>2432348.A</t>
  </si>
  <si>
    <t>CLORID. DE ONDANSETRONA 2MG/ML - 2ML</t>
  </si>
  <si>
    <t>CLORID. DE NAXOLONA 0,4MG/ML - 1 ML</t>
  </si>
  <si>
    <t>BA006/24</t>
  </si>
  <si>
    <t>CLONIDIN CLORID. DE CLONIDINA 150 MCG/ML - 1ML</t>
  </si>
  <si>
    <t>NEOCAÍNA - CLORIDRATO DE BUPIVACAÍNA 0,50% 5MG/ML 20ML - S/ VASO CONSTRITOR</t>
  </si>
  <si>
    <t>SULFATO DE ATROPINA 0,25 MG/ML IV/IM/SC</t>
  </si>
  <si>
    <t>AT24L030</t>
  </si>
  <si>
    <t>ETOMIDATO 2MG/ML - 10 ML</t>
  </si>
  <si>
    <t xml:space="preserve">UN </t>
  </si>
  <si>
    <t>PROPOFOL 10MG/ML ADUL/PED. - 20ML</t>
  </si>
  <si>
    <t>AOHO702A</t>
  </si>
  <si>
    <t>MIDAZOLAM 5MG/ML IV/IM</t>
  </si>
  <si>
    <t>AP-025/25</t>
  </si>
  <si>
    <t>ÁCIDO TRANEXÂMICO 50MG/ML - 5ML</t>
  </si>
  <si>
    <t>BD-015/25</t>
  </si>
  <si>
    <t>NUBAIN CLORID. DE NALBUFINA 10MG/ML - 1 ML</t>
  </si>
  <si>
    <t>FLUMAZENIL 0,1 MG/ML - 5 ML</t>
  </si>
  <si>
    <t>BF-002/25</t>
  </si>
  <si>
    <t>KETAMIN NP CLORID. DE ESCETAMINA 50MG/ML - 2 ML</t>
  </si>
  <si>
    <t>PAMERGAN CLORID. DE PROMETAZINA 25MG/ML - 2 ML</t>
  </si>
  <si>
    <t>CITRATO DE FENTANILA 50MGC/ML - 2 ML EPI-IV-IM</t>
  </si>
  <si>
    <t>AS-047/25M</t>
  </si>
  <si>
    <t>ADENOSINA 3MG/ML I.V. - 2 ML</t>
  </si>
  <si>
    <t>BC-013/24M</t>
  </si>
  <si>
    <t>SUCCINATO SÓDICO DE HIDROCORTISONA 500MG EM PÓ INJETÁVEL</t>
  </si>
  <si>
    <t>ENCRISE - VASOPRESSINA 20 U/ML - AMP. DE 1 ML</t>
  </si>
  <si>
    <t>AMINOFILINA 24MG/ML - AMP. 10 ML</t>
  </si>
  <si>
    <t>E-008/24M</t>
  </si>
  <si>
    <t>NEOCAINA 5 MG</t>
  </si>
  <si>
    <t>CX</t>
  </si>
  <si>
    <t>OR 92</t>
  </si>
  <si>
    <t>SUCCINIL 100 MG</t>
  </si>
  <si>
    <t>CLORETO DE CALCIO 10%</t>
  </si>
  <si>
    <t>XYLESTESIN 20 MG</t>
  </si>
  <si>
    <t>XYLESTESIN 100 MG SPRAY</t>
  </si>
  <si>
    <t>FLUMAZENIL 0,1 MG</t>
  </si>
  <si>
    <t>PRPOFOL 10 MG</t>
  </si>
  <si>
    <t>A0H0702A</t>
  </si>
  <si>
    <t>PREDI-MEDROL 40 MG</t>
  </si>
  <si>
    <t>PAMERGAN 25 MG</t>
  </si>
  <si>
    <t>FUROSEMIDA 10 MG</t>
  </si>
  <si>
    <t>SUGAMADEX SODICO 100 MG</t>
  </si>
  <si>
    <t>AS1250245A</t>
  </si>
  <si>
    <t>ETILEFRIL 10 MG</t>
  </si>
  <si>
    <t>ENCRISE  1 ML</t>
  </si>
  <si>
    <t>ADENOSINA 3 MG</t>
  </si>
  <si>
    <t>TROMETAMOL CETOROLACO 30 MG</t>
  </si>
  <si>
    <t>NORMASTIG 0,5 MG</t>
  </si>
  <si>
    <t>SUCCITRAT 100 MG</t>
  </si>
  <si>
    <t>CLORIDRATO DE NALOXONA 0,4 MG</t>
  </si>
  <si>
    <t>BA-006/24</t>
  </si>
  <si>
    <t>CITRATO DE FENTANILA 50 MCG</t>
  </si>
  <si>
    <t>FENILEFRIN 10 MG</t>
  </si>
  <si>
    <t>PARINEX 5 ML</t>
  </si>
  <si>
    <t>SULFATO DE TERBUTALINA 0,5 MG</t>
  </si>
  <si>
    <t>CLORIDRATO DE ONDANSETRONA 2 MG</t>
  </si>
  <si>
    <t>ACIDO TRANEXAMICO 50 MG</t>
  </si>
  <si>
    <t>UNIFEDRINE 50 MG</t>
  </si>
  <si>
    <t>ETOMIDATO 2 MG</t>
  </si>
  <si>
    <t>KETAMIN NP 50 MG</t>
  </si>
  <si>
    <t>NUBAIN 10 MG</t>
  </si>
  <si>
    <t>ATROFARMA 0,25 MG</t>
  </si>
  <si>
    <t>AT24L030 C-7/1</t>
  </si>
  <si>
    <t>FOSFATO DISSODICO DE DEXAMETASONA 4 MG</t>
  </si>
  <si>
    <t>DX25B025 C-7/1</t>
  </si>
  <si>
    <t>DIFENIDRIN 50 MG</t>
  </si>
  <si>
    <t>CLORIDRATO DE AMIODARONA 50 MG</t>
  </si>
  <si>
    <t>AMINOFILINA 24 MG</t>
  </si>
  <si>
    <t>CLONIDIN 150 MCG</t>
  </si>
  <si>
    <t>RR 16</t>
  </si>
  <si>
    <t>SUCCINATO SÓDICO DE HIDROCORTISONA 500 MG</t>
  </si>
  <si>
    <t>MIDAZOLAM 5 MG</t>
  </si>
  <si>
    <t>CEFAZOLINA SÓDICA 1 G</t>
  </si>
  <si>
    <t>SC 03</t>
  </si>
  <si>
    <t>Coluna3</t>
  </si>
  <si>
    <t>Lote</t>
  </si>
  <si>
    <t>Vencimento</t>
  </si>
  <si>
    <t>Necessario</t>
  </si>
  <si>
    <t>CLORETO DE SUXAMETÔNIO 100 MG - PÓ PARA SOLUÇÃO INJETÁVEL - SUCCINIL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</si>
</sst>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8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44" fontId="11" fillId="0" borderId="0" xfId="1" applyFont="1"/>
    <xf numFmtId="44" fontId="12" fillId="2" borderId="2" xfId="1" applyFont="1" applyFill="1" applyBorder="1" applyAlignment="1">
      <alignment horizontal="center" vertical="center" wrapText="1" readingOrder="1"/>
    </xf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4" fillId="0" borderId="0" xfId="0" applyFont="1"/>
    <xf numFmtId="0" fontId="14" fillId="0" borderId="4" xfId="0" applyFont="1" applyBorder="1"/>
    <xf numFmtId="0" fontId="13" fillId="0" borderId="4" xfId="0" applyFont="1" applyBorder="1"/>
    <xf numFmtId="44" fontId="14" fillId="0" borderId="4" xfId="1" applyFont="1" applyBorder="1"/>
    <xf numFmtId="0" fontId="14" fillId="0" borderId="0" xfId="0" applyFont="1" applyAlignment="1">
      <alignment horizontal="center"/>
    </xf>
    <xf numFmtId="44" fontId="0" fillId="0" borderId="0" xfId="0" applyNumberFormat="1"/>
    <xf numFmtId="0" fontId="14" fillId="3" borderId="0" xfId="0" applyFont="1" applyFill="1" applyAlignment="1">
      <alignment horizontal="center"/>
    </xf>
    <xf numFmtId="0" fontId="11" fillId="3" borderId="0" xfId="0" applyFont="1" applyFill="1"/>
    <xf numFmtId="44" fontId="11" fillId="3" borderId="0" xfId="1" applyFont="1" applyFill="1"/>
    <xf numFmtId="44" fontId="11" fillId="0" borderId="0" xfId="1" applyFont="1" applyFill="1"/>
    <xf numFmtId="0" fontId="9" fillId="0" borderId="0" xfId="0" applyFont="1"/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4" fontId="11" fillId="0" borderId="0" xfId="1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/>
    <xf numFmtId="0" fontId="11" fillId="4" borderId="0" xfId="0" applyFont="1" applyFill="1" applyAlignment="1">
      <alignment wrapText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4" fontId="12" fillId="0" borderId="2" xfId="1" applyFont="1" applyFill="1" applyBorder="1" applyAlignment="1">
      <alignment horizontal="center" vertical="center" wrapText="1" readingOrder="1"/>
    </xf>
    <xf numFmtId="0" fontId="11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0" fillId="0" borderId="0" xfId="0" applyFont="1" applyFill="1" applyBorder="1" applyAlignment="1">
      <alignment horizontal="center" vertical="top" readingOrder="1"/>
    </xf>
    <xf numFmtId="0" fontId="1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44" fontId="11" fillId="0" borderId="0" xfId="1" applyFont="1" applyFill="1" applyBorder="1" applyAlignment="1">
      <alignment horizontal="center"/>
    </xf>
    <xf numFmtId="16" fontId="11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Border="1" applyAlignment="1">
      <alignment horizontal="center" readingOrder="1"/>
    </xf>
    <xf numFmtId="0" fontId="10" fillId="0" borderId="0" xfId="0" applyFont="1" applyBorder="1" applyAlignment="1">
      <alignment horizontal="center" vertical="top" readingOrder="1"/>
    </xf>
    <xf numFmtId="0" fontId="11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0" fillId="0" borderId="0" xfId="0" quotePrefix="1" applyFont="1" applyBorder="1" applyAlignment="1">
      <alignment horizontal="center" vertical="top" readingOrder="1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</cellXfs>
  <cellStyles count="5">
    <cellStyle name="Moeda" xfId="1" builtinId="4"/>
    <cellStyle name="Moeda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indent="0" justifyLastLine="0" shrinkToFit="0"/>
    </dxf>
    <dxf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top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10D09-2753-4255-BADC-5AAEA0E04CA8}" name="Tabela1" displayName="Tabela1" ref="A1:G327" totalsRowShown="0" headerRowDxfId="16" dataDxfId="15" tableBorderDxfId="14" headerRowCellStyle="Moeda">
  <autoFilter ref="A1:G327" xr:uid="{3C010D09-2753-4255-BADC-5AAEA0E04CA8}"/>
  <tableColumns count="7">
    <tableColumn id="1" xr3:uid="{48950EB8-9509-4AB5-8E32-E2C095E0FD67}" name="DESCRIÇÃO " dataDxfId="6"/>
    <tableColumn id="3" xr3:uid="{9F93DC5B-D22F-473D-AE84-C49BC42157F4}" name="QUANTIDADE " dataDxfId="5"/>
    <tableColumn id="4" xr3:uid="{C5D6AF32-374E-425F-977A-6F446FF3A594}" name="OBSERVAÇÃO " dataDxfId="4"/>
    <tableColumn id="5" xr3:uid="{FB8CB311-5191-4889-98DD-E0BE0BAC4F8A}" name="NCM" dataDxfId="3"/>
    <tableColumn id="6" xr3:uid="{1737D4C0-6F0D-4AC4-BD7F-B44DD5D102A0}" name="UNIDADE DE MEDIDA" dataDxfId="2"/>
    <tableColumn id="7" xr3:uid="{A116A310-C6D0-4D4E-8354-88CCE6FCEEDF}" name="Classificação " dataDxfId="1"/>
    <tableColumn id="8" xr3:uid="{E93E7383-14FA-43FA-84B1-468A82C242FB}" name="SETOR " dataDxfId="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BE35C-5CCF-4BE4-A313-9C1A4EA9FA7B}" name="Tabela3" displayName="Tabela3" ref="B3:H81" totalsRowShown="0">
  <autoFilter ref="B3:H81" xr:uid="{888BE35C-5CCF-4BE4-A313-9C1A4EA9FA7B}"/>
  <tableColumns count="7">
    <tableColumn id="1" xr3:uid="{B3EEB406-B722-400C-94D0-B167DBAAB80C}" name="Medicações" dataDxfId="13"/>
    <tableColumn id="2" xr3:uid="{8EDAFB84-F5DF-42CE-8AF4-02CAEB0E2445}" name="Lote" dataDxfId="12"/>
    <tableColumn id="3" xr3:uid="{7CB62885-0146-4E7A-8B0D-8EFA85F4BDC6}" name="Vencimento" dataDxfId="11"/>
    <tableColumn id="4" xr3:uid="{0C48B026-93AE-4A26-9BC4-10D8A151BC78}" name="Coluna3" dataDxfId="10"/>
    <tableColumn id="5" xr3:uid="{161D6AD5-BA56-4679-B0EB-82EF00690896}" name="Quantidade" dataDxfId="9"/>
    <tableColumn id="6" xr3:uid="{27E2536E-4589-4AED-91B5-5C3D1EB7A43A}" name="Necessario" dataDxfId="8"/>
    <tableColumn id="8" xr3:uid="{A24C27A5-8BCE-4AC9-83CD-F9FF9C562BA5}" name="Caixa" dataDxfId="7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8507-2BFA-4A44-BDB3-56EA98B71DD8}">
  <dimension ref="A1:J20"/>
  <sheetViews>
    <sheetView showGridLines="0" zoomScale="115" zoomScaleNormal="115" workbookViewId="0">
      <selection activeCell="C2" sqref="C2"/>
    </sheetView>
  </sheetViews>
  <sheetFormatPr defaultRowHeight="15" x14ac:dyDescent="0.25"/>
  <cols>
    <col min="2" max="2" width="28.28515625" bestFit="1" customWidth="1"/>
    <col min="3" max="3" width="12.42578125" style="2" bestFit="1" customWidth="1"/>
    <col min="4" max="4" width="20.7109375" customWidth="1"/>
    <col min="5" max="5" width="18.5703125" bestFit="1" customWidth="1"/>
    <col min="6" max="6" width="22.85546875" bestFit="1" customWidth="1"/>
    <col min="7" max="7" width="19.5703125" bestFit="1" customWidth="1"/>
    <col min="8" max="8" width="12.85546875" bestFit="1" customWidth="1"/>
    <col min="10" max="10" width="10.5703125" bestFit="1" customWidth="1"/>
  </cols>
  <sheetData>
    <row r="1" spans="1:10" ht="15.75" thickBot="1" x14ac:dyDescent="0.3">
      <c r="A1" s="8" t="s">
        <v>411</v>
      </c>
      <c r="B1" s="8" t="s">
        <v>401</v>
      </c>
      <c r="C1" s="8" t="s">
        <v>402</v>
      </c>
      <c r="D1" s="8" t="s">
        <v>403</v>
      </c>
      <c r="E1" s="8" t="s">
        <v>404</v>
      </c>
      <c r="F1" s="8" t="s">
        <v>405</v>
      </c>
      <c r="G1" s="8" t="s">
        <v>406</v>
      </c>
      <c r="H1" s="8" t="s">
        <v>407</v>
      </c>
    </row>
    <row r="2" spans="1:10" ht="52.5" thickTop="1" x14ac:dyDescent="0.25">
      <c r="A2" s="11">
        <v>1</v>
      </c>
      <c r="B2" s="4" t="s">
        <v>381</v>
      </c>
      <c r="C2" s="16" t="e">
        <f>SUMIF('Tabela padrão - Suprimentos méd'!#REF!,'Resumo '!B2,'Tabela padrão - Suprimentos méd'!#REF!)</f>
        <v>#REF!</v>
      </c>
      <c r="D2" s="4" t="s">
        <v>410</v>
      </c>
      <c r="E2" s="4" t="s">
        <v>379</v>
      </c>
      <c r="F2" s="5" t="s">
        <v>415</v>
      </c>
      <c r="G2" s="7" t="s">
        <v>418</v>
      </c>
      <c r="H2" s="4"/>
    </row>
    <row r="3" spans="1:10" x14ac:dyDescent="0.25">
      <c r="A3" s="11">
        <v>2</v>
      </c>
      <c r="B3" s="4" t="s">
        <v>394</v>
      </c>
      <c r="C3" s="2" t="e">
        <f>SUMIF('Tabela padrão - Suprimentos méd'!#REF!,'Resumo '!B3,'Tabela padrão - Suprimentos méd'!#REF!)</f>
        <v>#REF!</v>
      </c>
      <c r="D3" s="4" t="s">
        <v>408</v>
      </c>
      <c r="E3" s="4" t="s">
        <v>409</v>
      </c>
      <c r="F3" s="4" t="s">
        <v>408</v>
      </c>
      <c r="G3" s="4" t="s">
        <v>423</v>
      </c>
      <c r="H3" s="4">
        <v>3596</v>
      </c>
    </row>
    <row r="4" spans="1:10" x14ac:dyDescent="0.25">
      <c r="A4" s="11">
        <v>3</v>
      </c>
      <c r="B4" s="4" t="s">
        <v>386</v>
      </c>
      <c r="C4" s="16" t="e">
        <f>SUMIF('Tabela padrão - Suprimentos méd'!#REF!,'Resumo '!B4,'Tabela padrão - Suprimentos méd'!#REF!)</f>
        <v>#REF!</v>
      </c>
      <c r="D4" s="4" t="s">
        <v>410</v>
      </c>
      <c r="E4" s="4" t="s">
        <v>379</v>
      </c>
      <c r="F4" s="17" t="s">
        <v>416</v>
      </c>
      <c r="G4" s="4" t="s">
        <v>423</v>
      </c>
      <c r="H4" s="4">
        <v>1437267</v>
      </c>
    </row>
    <row r="5" spans="1:10" x14ac:dyDescent="0.25">
      <c r="A5" s="11">
        <v>4</v>
      </c>
      <c r="B5" s="4" t="s">
        <v>398</v>
      </c>
      <c r="C5" s="16" t="e">
        <f>SUMIF('Tabela padrão - Suprimentos méd'!#REF!,'Resumo '!B5,'Tabela padrão - Suprimentos méd'!#REF!)</f>
        <v>#REF!</v>
      </c>
      <c r="D5" s="4" t="s">
        <v>410</v>
      </c>
      <c r="E5" s="4" t="s">
        <v>379</v>
      </c>
      <c r="F5" s="24"/>
      <c r="G5" s="7" t="s">
        <v>418</v>
      </c>
      <c r="H5" s="4"/>
    </row>
    <row r="6" spans="1:10" s="23" customFormat="1" ht="63.75" x14ac:dyDescent="0.25">
      <c r="A6" s="18">
        <v>5</v>
      </c>
      <c r="B6" s="19" t="s">
        <v>387</v>
      </c>
      <c r="C6" s="20" t="e">
        <f>SUMIF('Tabela padrão - Suprimentos méd'!#REF!,'Resumo '!B6,'Tabela padrão - Suprimentos méd'!#REF!)</f>
        <v>#REF!</v>
      </c>
      <c r="D6" s="19" t="s">
        <v>410</v>
      </c>
      <c r="E6" s="19" t="s">
        <v>379</v>
      </c>
      <c r="F6" s="21" t="s">
        <v>413</v>
      </c>
      <c r="G6" s="22" t="s">
        <v>418</v>
      </c>
      <c r="H6" s="19"/>
    </row>
    <row r="7" spans="1:10" x14ac:dyDescent="0.25">
      <c r="A7" s="11">
        <v>6</v>
      </c>
      <c r="B7" s="4" t="s">
        <v>395</v>
      </c>
      <c r="C7" s="2" t="e">
        <f>SUMIF('Tabela padrão - Suprimentos méd'!#REF!,'Resumo '!B7,'Tabela padrão - Suprimentos méd'!#REF!)</f>
        <v>#REF!</v>
      </c>
      <c r="D7" s="4" t="s">
        <v>408</v>
      </c>
      <c r="E7" s="4" t="s">
        <v>379</v>
      </c>
      <c r="F7" s="4" t="s">
        <v>408</v>
      </c>
      <c r="G7" s="4" t="s">
        <v>419</v>
      </c>
      <c r="H7" s="4">
        <v>469301</v>
      </c>
    </row>
    <row r="8" spans="1:10" hidden="1" x14ac:dyDescent="0.25">
      <c r="A8" s="13">
        <v>7</v>
      </c>
      <c r="B8" s="14" t="s">
        <v>392</v>
      </c>
      <c r="C8" s="15" t="e">
        <f>SUMIF('Tabela padrão - Suprimentos méd'!#REF!,'Resumo '!B8,'Tabela padrão - Suprimentos méd'!#REF!)</f>
        <v>#REF!</v>
      </c>
      <c r="D8" s="14"/>
      <c r="E8" s="14"/>
      <c r="F8" s="14"/>
      <c r="G8" s="14" t="s">
        <v>417</v>
      </c>
      <c r="H8" s="14"/>
    </row>
    <row r="9" spans="1:10" x14ac:dyDescent="0.25">
      <c r="A9" s="11">
        <v>8</v>
      </c>
      <c r="B9" s="4" t="s">
        <v>388</v>
      </c>
      <c r="C9" s="2" t="e">
        <f>SUMIF('Tabela padrão - Suprimentos méd'!#REF!,'Resumo '!B9,'Tabela padrão - Suprimentos méd'!#REF!)</f>
        <v>#REF!</v>
      </c>
      <c r="D9" s="4" t="s">
        <v>408</v>
      </c>
      <c r="E9" s="4" t="s">
        <v>409</v>
      </c>
      <c r="F9" s="4" t="s">
        <v>408</v>
      </c>
      <c r="G9" s="4" t="s">
        <v>419</v>
      </c>
      <c r="H9" s="4"/>
    </row>
    <row r="10" spans="1:10" x14ac:dyDescent="0.25">
      <c r="A10" s="11">
        <v>9</v>
      </c>
      <c r="B10" s="4" t="s">
        <v>399</v>
      </c>
      <c r="C10" s="2" t="e">
        <f>SUMIF('Tabela padrão - Suprimentos méd'!#REF!,'Resumo '!B10,'Tabela padrão - Suprimentos méd'!#REF!)</f>
        <v>#REF!</v>
      </c>
      <c r="D10" s="4" t="s">
        <v>408</v>
      </c>
      <c r="E10" s="4" t="s">
        <v>379</v>
      </c>
      <c r="F10" s="4" t="s">
        <v>420</v>
      </c>
      <c r="G10" s="4" t="s">
        <v>419</v>
      </c>
      <c r="H10" s="4"/>
    </row>
    <row r="11" spans="1:10" ht="51.75" x14ac:dyDescent="0.25">
      <c r="A11" s="11">
        <v>10</v>
      </c>
      <c r="B11" s="4" t="s">
        <v>382</v>
      </c>
      <c r="C11" s="16" t="e">
        <f>SUMIF('Tabela padrão - Suprimentos méd'!#REF!,'Resumo '!B11,'Tabela padrão - Suprimentos méd'!#REF!)</f>
        <v>#REF!</v>
      </c>
      <c r="D11" s="4" t="s">
        <v>410</v>
      </c>
      <c r="E11" s="4" t="s">
        <v>379</v>
      </c>
      <c r="F11" s="25" t="s">
        <v>422</v>
      </c>
      <c r="G11" s="7" t="s">
        <v>418</v>
      </c>
      <c r="H11" s="4"/>
    </row>
    <row r="12" spans="1:10" x14ac:dyDescent="0.25">
      <c r="A12" s="11">
        <v>11</v>
      </c>
      <c r="B12" s="4" t="s">
        <v>391</v>
      </c>
      <c r="C12" s="16" t="e">
        <f>SUMIF('Tabela padrão - Suprimentos méd'!#REF!,'Resumo '!B12,'Tabela padrão - Suprimentos méd'!#REF!)</f>
        <v>#REF!</v>
      </c>
      <c r="D12" s="4" t="s">
        <v>410</v>
      </c>
      <c r="E12" s="4" t="s">
        <v>379</v>
      </c>
      <c r="F12" s="4" t="s">
        <v>412</v>
      </c>
      <c r="G12" s="7" t="s">
        <v>418</v>
      </c>
      <c r="H12" s="4"/>
    </row>
    <row r="13" spans="1:10" x14ac:dyDescent="0.25">
      <c r="A13" s="11">
        <v>12</v>
      </c>
      <c r="B13" s="4" t="s">
        <v>396</v>
      </c>
      <c r="C13" s="2" t="e">
        <f>SUMIF('Tabela padrão - Suprimentos méd'!#REF!,'Resumo '!B13,'Tabela padrão - Suprimentos méd'!#REF!)</f>
        <v>#REF!</v>
      </c>
      <c r="D13" s="4" t="s">
        <v>408</v>
      </c>
      <c r="E13" s="4" t="s">
        <v>379</v>
      </c>
      <c r="F13" s="4" t="s">
        <v>420</v>
      </c>
      <c r="G13" s="4" t="s">
        <v>419</v>
      </c>
      <c r="H13" s="4"/>
    </row>
    <row r="14" spans="1:10" x14ac:dyDescent="0.25">
      <c r="A14" s="11">
        <v>13</v>
      </c>
      <c r="B14" s="4" t="s">
        <v>389</v>
      </c>
      <c r="C14" s="2" t="e">
        <f>SUMIF('Tabela padrão - Suprimentos méd'!#REF!,'Resumo '!B14,'Tabela padrão - Suprimentos méd'!#REF!)</f>
        <v>#REF!</v>
      </c>
      <c r="D14" s="4" t="s">
        <v>408</v>
      </c>
      <c r="E14" s="4" t="s">
        <v>409</v>
      </c>
      <c r="F14" s="4" t="s">
        <v>420</v>
      </c>
      <c r="G14" s="4" t="s">
        <v>423</v>
      </c>
      <c r="H14" s="4">
        <v>125870</v>
      </c>
      <c r="J14" s="12"/>
    </row>
    <row r="15" spans="1:10" x14ac:dyDescent="0.25">
      <c r="A15" s="11">
        <v>14</v>
      </c>
      <c r="B15" s="4" t="s">
        <v>384</v>
      </c>
      <c r="C15" s="16">
        <v>15051.35</v>
      </c>
      <c r="D15" s="4" t="s">
        <v>410</v>
      </c>
      <c r="E15" s="4" t="s">
        <v>379</v>
      </c>
      <c r="F15" s="4" t="s">
        <v>414</v>
      </c>
      <c r="G15" s="7" t="s">
        <v>418</v>
      </c>
      <c r="H15" s="4"/>
    </row>
    <row r="16" spans="1:10" x14ac:dyDescent="0.25">
      <c r="A16" s="11">
        <v>15</v>
      </c>
      <c r="B16" s="4" t="s">
        <v>400</v>
      </c>
      <c r="C16" s="2" t="e">
        <f>SUMIF('Tabela padrão - Suprimentos méd'!#REF!,'Resumo '!B16,'Tabela padrão - Suprimentos méd'!#REF!)</f>
        <v>#REF!</v>
      </c>
      <c r="D16" s="4" t="s">
        <v>408</v>
      </c>
      <c r="E16" s="4" t="s">
        <v>409</v>
      </c>
      <c r="F16" s="4" t="s">
        <v>420</v>
      </c>
      <c r="G16" s="4" t="s">
        <v>423</v>
      </c>
      <c r="H16" s="4">
        <v>4180749</v>
      </c>
    </row>
    <row r="17" spans="1:8" x14ac:dyDescent="0.25">
      <c r="A17" s="11">
        <v>16</v>
      </c>
      <c r="B17" s="4" t="s">
        <v>390</v>
      </c>
      <c r="C17" s="16" t="e">
        <f>SUMIF('Tabela padrão - Suprimentos méd'!#REF!,'Resumo '!B17,'Tabela padrão - Suprimentos méd'!#REF!)</f>
        <v>#REF!</v>
      </c>
      <c r="D17" s="4" t="s">
        <v>410</v>
      </c>
      <c r="E17" s="4" t="s">
        <v>409</v>
      </c>
      <c r="F17" s="14"/>
      <c r="G17" s="4"/>
      <c r="H17" s="4"/>
    </row>
    <row r="18" spans="1:8" x14ac:dyDescent="0.25">
      <c r="A18" s="11">
        <v>17</v>
      </c>
      <c r="B18" t="s">
        <v>421</v>
      </c>
      <c r="C18" s="2" t="e">
        <f>SUMIF('Tabela padrão - Suprimentos méd'!#REF!,'Resumo '!B18,'Tabela padrão - Suprimentos méd'!#REF!)</f>
        <v>#REF!</v>
      </c>
      <c r="D18" s="4" t="s">
        <v>408</v>
      </c>
      <c r="E18" s="4" t="s">
        <v>379</v>
      </c>
      <c r="F18" s="4" t="s">
        <v>420</v>
      </c>
      <c r="G18" s="4" t="s">
        <v>419</v>
      </c>
      <c r="H18" s="4"/>
    </row>
    <row r="19" spans="1:8" ht="15.75" thickBot="1" x14ac:dyDescent="0.3">
      <c r="B19" s="8" t="s">
        <v>378</v>
      </c>
      <c r="C19" s="10" t="e">
        <f>SUM(C2:C18)</f>
        <v>#REF!</v>
      </c>
      <c r="D19" s="9"/>
      <c r="E19" s="9"/>
      <c r="F19" s="9"/>
      <c r="G19" s="9"/>
      <c r="H19" s="9"/>
    </row>
    <row r="20" spans="1:8" ht="15.75" thickTop="1" x14ac:dyDescent="0.25"/>
  </sheetData>
  <autoFilter ref="A1:H19" xr:uid="{10F18507-2BFA-4A44-BDB3-56EA98B71DD8}"/>
  <sortState xmlns:xlrd2="http://schemas.microsoft.com/office/spreadsheetml/2017/richdata2" ref="B2:B18">
    <sortCondition ref="B2:B18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327"/>
  <sheetViews>
    <sheetView tabSelected="1" workbookViewId="0">
      <selection activeCell="A8" sqref="A8"/>
    </sheetView>
  </sheetViews>
  <sheetFormatPr defaultRowHeight="15" x14ac:dyDescent="0.25"/>
  <cols>
    <col min="1" max="1" width="76.5703125" style="34" bestFit="1" customWidth="1"/>
    <col min="2" max="2" width="16.42578125" style="6" bestFit="1" customWidth="1"/>
    <col min="3" max="3" width="40.85546875" style="35" bestFit="1" customWidth="1"/>
    <col min="4" max="4" width="12" style="1" bestFit="1" customWidth="1"/>
    <col min="5" max="5" width="22.140625" style="1" bestFit="1" customWidth="1"/>
    <col min="6" max="6" width="15.28515625" style="36" bestFit="1" customWidth="1"/>
    <col min="7" max="7" width="29.28515625" style="45" bestFit="1" customWidth="1"/>
    <col min="8" max="16384" width="9.140625" style="44"/>
  </cols>
  <sheetData>
    <row r="1" spans="1:7" ht="12.75" x14ac:dyDescent="0.2">
      <c r="A1" s="26" t="s">
        <v>259</v>
      </c>
      <c r="B1" s="27" t="s">
        <v>289</v>
      </c>
      <c r="C1" s="27" t="s">
        <v>371</v>
      </c>
      <c r="D1" s="28" t="s">
        <v>0</v>
      </c>
      <c r="E1" s="27" t="s">
        <v>119</v>
      </c>
      <c r="F1" s="3" t="s">
        <v>29</v>
      </c>
      <c r="G1" s="43" t="s">
        <v>290</v>
      </c>
    </row>
    <row r="2" spans="1:7" ht="15" customHeight="1" x14ac:dyDescent="0.2">
      <c r="A2" s="47" t="s">
        <v>310</v>
      </c>
      <c r="B2" s="47">
        <v>2</v>
      </c>
      <c r="C2" s="48" t="s">
        <v>373</v>
      </c>
      <c r="D2" s="48">
        <v>90189099</v>
      </c>
      <c r="E2" s="48" t="s">
        <v>311</v>
      </c>
      <c r="F2" s="48" t="s">
        <v>30</v>
      </c>
      <c r="G2" s="48" t="s">
        <v>312</v>
      </c>
    </row>
    <row r="3" spans="1:7" s="46" customFormat="1" x14ac:dyDescent="0.25">
      <c r="A3" s="47" t="s">
        <v>6</v>
      </c>
      <c r="B3" s="47">
        <v>10</v>
      </c>
      <c r="C3" s="47" t="s">
        <v>373</v>
      </c>
      <c r="D3" s="47">
        <v>90189099</v>
      </c>
      <c r="E3" s="47" t="s">
        <v>311</v>
      </c>
      <c r="F3" s="49" t="s">
        <v>30</v>
      </c>
      <c r="G3" s="48" t="s">
        <v>313</v>
      </c>
    </row>
    <row r="4" spans="1:7" s="46" customFormat="1" x14ac:dyDescent="0.25">
      <c r="A4" s="47" t="s">
        <v>380</v>
      </c>
      <c r="B4" s="47">
        <v>10</v>
      </c>
      <c r="C4" s="47" t="s">
        <v>373</v>
      </c>
      <c r="D4" s="47"/>
      <c r="E4" s="47"/>
      <c r="F4" s="49"/>
      <c r="G4" s="48"/>
    </row>
    <row r="5" spans="1:7" s="46" customFormat="1" x14ac:dyDescent="0.25">
      <c r="A5" s="50" t="s">
        <v>356</v>
      </c>
      <c r="B5" s="47">
        <v>20</v>
      </c>
      <c r="C5" s="47" t="s">
        <v>373</v>
      </c>
      <c r="D5" s="47"/>
      <c r="E5" s="47"/>
      <c r="F5" s="49"/>
      <c r="G5" s="48"/>
    </row>
    <row r="6" spans="1:7" ht="12.75" x14ac:dyDescent="0.2">
      <c r="A6" s="47" t="s">
        <v>35</v>
      </c>
      <c r="B6" s="47">
        <v>60</v>
      </c>
      <c r="C6" s="47" t="s">
        <v>376</v>
      </c>
      <c r="D6" s="47">
        <v>90189010</v>
      </c>
      <c r="E6" s="47" t="s">
        <v>120</v>
      </c>
      <c r="F6" s="49" t="s">
        <v>97</v>
      </c>
      <c r="G6" s="47" t="s">
        <v>326</v>
      </c>
    </row>
    <row r="7" spans="1:7" s="46" customFormat="1" x14ac:dyDescent="0.25">
      <c r="A7" s="47" t="s">
        <v>1</v>
      </c>
      <c r="B7" s="47">
        <v>4</v>
      </c>
      <c r="C7" s="47" t="s">
        <v>369</v>
      </c>
      <c r="D7" s="47">
        <v>90183119</v>
      </c>
      <c r="E7" s="47" t="s">
        <v>120</v>
      </c>
      <c r="F7" s="49" t="s">
        <v>30</v>
      </c>
      <c r="G7" s="48" t="s">
        <v>325</v>
      </c>
    </row>
    <row r="8" spans="1:7" ht="12.75" x14ac:dyDescent="0.2">
      <c r="A8" s="47" t="s">
        <v>2</v>
      </c>
      <c r="B8" s="47">
        <v>10</v>
      </c>
      <c r="C8" s="47"/>
      <c r="D8" s="47">
        <v>29349129</v>
      </c>
      <c r="E8" s="47" t="s">
        <v>120</v>
      </c>
      <c r="F8" s="49" t="s">
        <v>97</v>
      </c>
      <c r="G8" s="48" t="s">
        <v>326</v>
      </c>
    </row>
    <row r="9" spans="1:7" s="1" customFormat="1" x14ac:dyDescent="0.25">
      <c r="A9" s="57" t="s">
        <v>269</v>
      </c>
      <c r="B9" s="57">
        <v>5</v>
      </c>
      <c r="C9" s="57" t="s">
        <v>293</v>
      </c>
      <c r="D9" s="58">
        <v>30061090</v>
      </c>
      <c r="E9" s="57" t="s">
        <v>292</v>
      </c>
      <c r="F9" s="59" t="s">
        <v>30</v>
      </c>
      <c r="G9" s="60" t="s">
        <v>341</v>
      </c>
    </row>
    <row r="10" spans="1:7" ht="12.75" x14ac:dyDescent="0.2">
      <c r="A10" s="47" t="s">
        <v>3</v>
      </c>
      <c r="B10" s="47">
        <v>100</v>
      </c>
      <c r="C10" s="47"/>
      <c r="D10" s="47">
        <v>30049021</v>
      </c>
      <c r="E10" s="47" t="s">
        <v>120</v>
      </c>
      <c r="F10" s="49" t="s">
        <v>97</v>
      </c>
      <c r="G10" s="48" t="s">
        <v>326</v>
      </c>
    </row>
    <row r="11" spans="1:7" ht="12.75" x14ac:dyDescent="0.2">
      <c r="A11" s="47" t="s">
        <v>425</v>
      </c>
      <c r="B11" s="47">
        <v>100</v>
      </c>
      <c r="C11" s="47"/>
      <c r="D11" s="47">
        <v>30049099</v>
      </c>
      <c r="E11" s="47" t="s">
        <v>120</v>
      </c>
      <c r="F11" s="49" t="s">
        <v>97</v>
      </c>
      <c r="G11" s="48" t="s">
        <v>326</v>
      </c>
    </row>
    <row r="12" spans="1:7" ht="12.75" x14ac:dyDescent="0.2">
      <c r="A12" s="47" t="s">
        <v>11</v>
      </c>
      <c r="B12" s="47">
        <v>300</v>
      </c>
      <c r="C12" s="47"/>
      <c r="D12" s="47">
        <v>90183219</v>
      </c>
      <c r="E12" s="47" t="s">
        <v>120</v>
      </c>
      <c r="F12" s="49" t="s">
        <v>30</v>
      </c>
      <c r="G12" s="48" t="s">
        <v>327</v>
      </c>
    </row>
    <row r="13" spans="1:7" s="46" customFormat="1" x14ac:dyDescent="0.25">
      <c r="A13" s="47" t="s">
        <v>256</v>
      </c>
      <c r="B13" s="48">
        <v>300</v>
      </c>
      <c r="C13" s="51"/>
      <c r="D13" s="48">
        <v>90183219</v>
      </c>
      <c r="E13" s="48" t="s">
        <v>120</v>
      </c>
      <c r="F13" s="48" t="s">
        <v>30</v>
      </c>
      <c r="G13" s="48" t="s">
        <v>327</v>
      </c>
    </row>
    <row r="14" spans="1:7" s="46" customFormat="1" x14ac:dyDescent="0.25">
      <c r="A14" s="47" t="s">
        <v>10</v>
      </c>
      <c r="B14" s="47">
        <v>300</v>
      </c>
      <c r="C14" s="47"/>
      <c r="D14" s="47">
        <v>90183219</v>
      </c>
      <c r="E14" s="47" t="s">
        <v>120</v>
      </c>
      <c r="F14" s="49" t="s">
        <v>30</v>
      </c>
      <c r="G14" s="48" t="s">
        <v>327</v>
      </c>
    </row>
    <row r="15" spans="1:7" ht="12.75" x14ac:dyDescent="0.2">
      <c r="A15" s="47" t="s">
        <v>13</v>
      </c>
      <c r="B15" s="48">
        <v>300</v>
      </c>
      <c r="C15" s="51"/>
      <c r="D15" s="48">
        <v>90183219</v>
      </c>
      <c r="E15" s="52" t="s">
        <v>120</v>
      </c>
      <c r="F15" s="51" t="s">
        <v>30</v>
      </c>
      <c r="G15" s="48" t="s">
        <v>327</v>
      </c>
    </row>
    <row r="16" spans="1:7" ht="12.75" x14ac:dyDescent="0.2">
      <c r="A16" s="47" t="s">
        <v>14</v>
      </c>
      <c r="B16" s="47">
        <v>200</v>
      </c>
      <c r="C16" s="47"/>
      <c r="D16" s="47">
        <v>90183219</v>
      </c>
      <c r="E16" s="47" t="s">
        <v>120</v>
      </c>
      <c r="F16" s="49" t="s">
        <v>30</v>
      </c>
      <c r="G16" s="48" t="s">
        <v>327</v>
      </c>
    </row>
    <row r="17" spans="1:7" ht="12.75" customHeight="1" x14ac:dyDescent="0.2">
      <c r="A17" s="47" t="s">
        <v>260</v>
      </c>
      <c r="B17" s="47">
        <v>5</v>
      </c>
      <c r="C17" s="47" t="s">
        <v>373</v>
      </c>
      <c r="D17" s="47">
        <v>30059090</v>
      </c>
      <c r="E17" s="47" t="s">
        <v>120</v>
      </c>
      <c r="F17" s="49" t="s">
        <v>30</v>
      </c>
      <c r="G17" s="48" t="s">
        <v>329</v>
      </c>
    </row>
    <row r="18" spans="1:7" ht="12.75" x14ac:dyDescent="0.2">
      <c r="A18" s="47" t="s">
        <v>16</v>
      </c>
      <c r="B18" s="47">
        <v>3</v>
      </c>
      <c r="C18" s="47"/>
      <c r="D18" s="47">
        <v>30049099</v>
      </c>
      <c r="E18" s="47" t="s">
        <v>120</v>
      </c>
      <c r="F18" s="49" t="s">
        <v>97</v>
      </c>
      <c r="G18" s="48" t="s">
        <v>326</v>
      </c>
    </row>
    <row r="19" spans="1:7" ht="12.75" customHeight="1" x14ac:dyDescent="0.2">
      <c r="A19" s="47" t="s">
        <v>18</v>
      </c>
      <c r="B19" s="47">
        <v>50</v>
      </c>
      <c r="C19" s="47" t="s">
        <v>360</v>
      </c>
      <c r="D19" s="47">
        <v>30049099</v>
      </c>
      <c r="E19" s="47" t="s">
        <v>120</v>
      </c>
      <c r="F19" s="49" t="s">
        <v>97</v>
      </c>
      <c r="G19" s="48" t="s">
        <v>330</v>
      </c>
    </row>
    <row r="20" spans="1:7" ht="12.75" x14ac:dyDescent="0.2">
      <c r="A20" s="47" t="s">
        <v>19</v>
      </c>
      <c r="B20" s="47">
        <v>80</v>
      </c>
      <c r="C20" s="47" t="s">
        <v>361</v>
      </c>
      <c r="D20" s="47">
        <v>90183929</v>
      </c>
      <c r="E20" s="47" t="s">
        <v>120</v>
      </c>
      <c r="F20" s="49" t="s">
        <v>30</v>
      </c>
      <c r="G20" s="48" t="s">
        <v>331</v>
      </c>
    </row>
    <row r="21" spans="1:7" ht="12.75" x14ac:dyDescent="0.2">
      <c r="A21" s="47" t="s">
        <v>20</v>
      </c>
      <c r="B21" s="48">
        <f>4*62</f>
        <v>248</v>
      </c>
      <c r="C21" s="48" t="s">
        <v>362</v>
      </c>
      <c r="D21" s="48">
        <v>62101000</v>
      </c>
      <c r="E21" s="48" t="s">
        <v>120</v>
      </c>
      <c r="F21" s="48" t="s">
        <v>30</v>
      </c>
      <c r="G21" s="48" t="s">
        <v>331</v>
      </c>
    </row>
    <row r="22" spans="1:7" ht="12.75" customHeight="1" x14ac:dyDescent="0.2">
      <c r="A22" s="47" t="s">
        <v>21</v>
      </c>
      <c r="B22" s="47">
        <v>10</v>
      </c>
      <c r="C22" s="47" t="s">
        <v>373</v>
      </c>
      <c r="D22" s="47">
        <v>30042029</v>
      </c>
      <c r="E22" s="47" t="s">
        <v>120</v>
      </c>
      <c r="F22" s="49" t="s">
        <v>97</v>
      </c>
      <c r="G22" s="48" t="s">
        <v>332</v>
      </c>
    </row>
    <row r="23" spans="1:7" ht="12.75" customHeight="1" x14ac:dyDescent="0.2">
      <c r="A23" s="47" t="s">
        <v>240</v>
      </c>
      <c r="B23" s="47">
        <v>5</v>
      </c>
      <c r="C23" s="47" t="s">
        <v>357</v>
      </c>
      <c r="D23" s="53" t="s">
        <v>255</v>
      </c>
      <c r="E23" s="47" t="s">
        <v>120</v>
      </c>
      <c r="F23" s="54" t="s">
        <v>30</v>
      </c>
      <c r="G23" s="48" t="s">
        <v>326</v>
      </c>
    </row>
    <row r="24" spans="1:7" s="46" customFormat="1" x14ac:dyDescent="0.25">
      <c r="A24" s="47" t="s">
        <v>22</v>
      </c>
      <c r="B24" s="47">
        <v>20</v>
      </c>
      <c r="C24" s="47"/>
      <c r="D24" s="47">
        <v>29343090</v>
      </c>
      <c r="E24" s="47" t="s">
        <v>120</v>
      </c>
      <c r="F24" s="49" t="s">
        <v>97</v>
      </c>
      <c r="G24" s="48" t="s">
        <v>327</v>
      </c>
    </row>
    <row r="25" spans="1:7" ht="12.75" customHeight="1" x14ac:dyDescent="0.2">
      <c r="A25" s="47" t="s">
        <v>108</v>
      </c>
      <c r="B25" s="47">
        <v>3</v>
      </c>
      <c r="C25" s="47" t="s">
        <v>373</v>
      </c>
      <c r="D25" s="47">
        <v>30049099</v>
      </c>
      <c r="E25" s="47" t="s">
        <v>120</v>
      </c>
      <c r="F25" s="54" t="s">
        <v>97</v>
      </c>
      <c r="G25" s="47" t="s">
        <v>334</v>
      </c>
    </row>
    <row r="26" spans="1:7" s="46" customFormat="1" x14ac:dyDescent="0.25">
      <c r="A26" s="47" t="s">
        <v>234</v>
      </c>
      <c r="B26" s="47">
        <v>15</v>
      </c>
      <c r="C26" s="47" t="s">
        <v>357</v>
      </c>
      <c r="D26" s="53">
        <v>30049099</v>
      </c>
      <c r="E26" s="47" t="s">
        <v>120</v>
      </c>
      <c r="F26" s="54" t="s">
        <v>30</v>
      </c>
      <c r="G26" s="48" t="s">
        <v>326</v>
      </c>
    </row>
    <row r="27" spans="1:7" ht="12.75" customHeight="1" x14ac:dyDescent="0.2">
      <c r="A27" s="47" t="s">
        <v>32</v>
      </c>
      <c r="B27" s="47">
        <v>2</v>
      </c>
      <c r="C27" s="47" t="s">
        <v>373</v>
      </c>
      <c r="D27" s="47">
        <v>30049039</v>
      </c>
      <c r="E27" s="47" t="s">
        <v>120</v>
      </c>
      <c r="F27" s="49" t="s">
        <v>97</v>
      </c>
      <c r="G27" s="48" t="s">
        <v>334</v>
      </c>
    </row>
    <row r="28" spans="1:7" s="46" customFormat="1" x14ac:dyDescent="0.25">
      <c r="A28" s="47" t="s">
        <v>31</v>
      </c>
      <c r="B28" s="47">
        <v>2</v>
      </c>
      <c r="C28" s="47" t="s">
        <v>373</v>
      </c>
      <c r="D28" s="47">
        <v>30049039</v>
      </c>
      <c r="E28" s="47" t="s">
        <v>120</v>
      </c>
      <c r="F28" s="49" t="s">
        <v>97</v>
      </c>
      <c r="G28" s="48" t="s">
        <v>334</v>
      </c>
    </row>
    <row r="29" spans="1:7" s="46" customFormat="1" x14ac:dyDescent="0.25">
      <c r="A29" s="47" t="s">
        <v>306</v>
      </c>
      <c r="B29" s="47">
        <v>20</v>
      </c>
      <c r="C29" s="47" t="s">
        <v>357</v>
      </c>
      <c r="D29" s="47"/>
      <c r="E29" s="47"/>
      <c r="F29" s="49"/>
      <c r="G29" s="47" t="s">
        <v>326</v>
      </c>
    </row>
    <row r="30" spans="1:7" ht="12.75" customHeight="1" x14ac:dyDescent="0.2">
      <c r="A30" s="47" t="s">
        <v>243</v>
      </c>
      <c r="B30" s="47">
        <v>50</v>
      </c>
      <c r="C30" s="47" t="s">
        <v>357</v>
      </c>
      <c r="D30" s="53">
        <v>30049061</v>
      </c>
      <c r="E30" s="47" t="s">
        <v>120</v>
      </c>
      <c r="F30" s="54" t="s">
        <v>30</v>
      </c>
      <c r="G30" s="48" t="s">
        <v>326</v>
      </c>
    </row>
    <row r="31" spans="1:7" s="46" customFormat="1" x14ac:dyDescent="0.25">
      <c r="A31" s="47" t="s">
        <v>335</v>
      </c>
      <c r="B31" s="47">
        <v>80</v>
      </c>
      <c r="C31" s="47" t="s">
        <v>361</v>
      </c>
      <c r="D31" s="47">
        <v>30059020</v>
      </c>
      <c r="E31" s="47" t="s">
        <v>120</v>
      </c>
      <c r="F31" s="49" t="s">
        <v>30</v>
      </c>
      <c r="G31" s="48" t="s">
        <v>331</v>
      </c>
    </row>
    <row r="32" spans="1:7" ht="12.75" x14ac:dyDescent="0.2">
      <c r="A32" s="47" t="s">
        <v>33</v>
      </c>
      <c r="B32" s="48">
        <v>80</v>
      </c>
      <c r="C32" s="48" t="s">
        <v>361</v>
      </c>
      <c r="D32" s="48">
        <v>30059020</v>
      </c>
      <c r="E32" s="48" t="s">
        <v>120</v>
      </c>
      <c r="F32" s="48" t="s">
        <v>30</v>
      </c>
      <c r="G32" s="48" t="s">
        <v>331</v>
      </c>
    </row>
    <row r="33" spans="1:7" ht="12.75" x14ac:dyDescent="0.2">
      <c r="A33" s="47" t="s">
        <v>37</v>
      </c>
      <c r="B33" s="47">
        <v>70</v>
      </c>
      <c r="C33" s="47" t="s">
        <v>361</v>
      </c>
      <c r="D33" s="47">
        <v>30059020</v>
      </c>
      <c r="E33" s="47" t="s">
        <v>120</v>
      </c>
      <c r="F33" s="49" t="s">
        <v>30</v>
      </c>
      <c r="G33" s="48" t="s">
        <v>331</v>
      </c>
    </row>
    <row r="34" spans="1:7" ht="12.75" x14ac:dyDescent="0.2">
      <c r="A34" s="47" t="s">
        <v>39</v>
      </c>
      <c r="B34" s="47">
        <v>70</v>
      </c>
      <c r="C34" s="47" t="s">
        <v>361</v>
      </c>
      <c r="D34" s="47" t="s">
        <v>38</v>
      </c>
      <c r="E34" s="47" t="s">
        <v>120</v>
      </c>
      <c r="F34" s="49" t="s">
        <v>30</v>
      </c>
      <c r="G34" s="48" t="s">
        <v>331</v>
      </c>
    </row>
    <row r="35" spans="1:7" ht="12.75" x14ac:dyDescent="0.2">
      <c r="A35" s="47" t="s">
        <v>295</v>
      </c>
      <c r="B35" s="47">
        <v>20</v>
      </c>
      <c r="C35" s="47"/>
      <c r="D35" s="47">
        <v>90183929</v>
      </c>
      <c r="E35" s="47" t="s">
        <v>120</v>
      </c>
      <c r="F35" s="49" t="s">
        <v>30</v>
      </c>
      <c r="G35" s="48" t="s">
        <v>314</v>
      </c>
    </row>
    <row r="36" spans="1:7" ht="12.75" x14ac:dyDescent="0.2">
      <c r="A36" s="47" t="s">
        <v>45</v>
      </c>
      <c r="B36" s="47">
        <v>8</v>
      </c>
      <c r="C36" s="47"/>
      <c r="D36" s="47">
        <v>90183929</v>
      </c>
      <c r="E36" s="47" t="s">
        <v>120</v>
      </c>
      <c r="F36" s="49" t="s">
        <v>30</v>
      </c>
      <c r="G36" s="48" t="s">
        <v>314</v>
      </c>
    </row>
    <row r="37" spans="1:7" ht="12.75" x14ac:dyDescent="0.2">
      <c r="A37" s="47" t="s">
        <v>46</v>
      </c>
      <c r="B37" s="47">
        <v>8</v>
      </c>
      <c r="C37" s="47"/>
      <c r="D37" s="47">
        <v>90183929</v>
      </c>
      <c r="E37" s="47" t="s">
        <v>120</v>
      </c>
      <c r="F37" s="49" t="s">
        <v>30</v>
      </c>
      <c r="G37" s="48" t="s">
        <v>314</v>
      </c>
    </row>
    <row r="38" spans="1:7" s="46" customFormat="1" x14ac:dyDescent="0.25">
      <c r="A38" s="47" t="s">
        <v>47</v>
      </c>
      <c r="B38" s="47">
        <v>8</v>
      </c>
      <c r="C38" s="47"/>
      <c r="D38" s="47">
        <v>90183929</v>
      </c>
      <c r="E38" s="47" t="s">
        <v>120</v>
      </c>
      <c r="F38" s="49" t="s">
        <v>30</v>
      </c>
      <c r="G38" s="48" t="s">
        <v>314</v>
      </c>
    </row>
    <row r="39" spans="1:7" s="46" customFormat="1" x14ac:dyDescent="0.25">
      <c r="A39" s="53" t="s">
        <v>436</v>
      </c>
      <c r="B39" s="53">
        <v>8</v>
      </c>
      <c r="C39" s="47"/>
      <c r="D39" s="53"/>
      <c r="E39" s="47"/>
      <c r="F39" s="49"/>
      <c r="G39" s="48"/>
    </row>
    <row r="40" spans="1:7" s="46" customFormat="1" x14ac:dyDescent="0.25">
      <c r="A40" s="53" t="s">
        <v>437</v>
      </c>
      <c r="B40" s="53"/>
      <c r="C40" s="47"/>
      <c r="D40" s="53"/>
      <c r="E40" s="47"/>
      <c r="F40" s="49"/>
      <c r="G40" s="48"/>
    </row>
    <row r="41" spans="1:7" s="46" customFormat="1" x14ac:dyDescent="0.25">
      <c r="A41" s="53" t="s">
        <v>438</v>
      </c>
      <c r="B41" s="53"/>
      <c r="C41" s="47"/>
      <c r="D41" s="53"/>
      <c r="E41" s="47"/>
      <c r="F41" s="49"/>
      <c r="G41" s="48"/>
    </row>
    <row r="42" spans="1:7" s="46" customFormat="1" x14ac:dyDescent="0.25">
      <c r="A42" s="53" t="s">
        <v>439</v>
      </c>
      <c r="B42" s="53"/>
      <c r="C42" s="47"/>
      <c r="D42" s="53"/>
      <c r="E42" s="47"/>
      <c r="F42" s="49"/>
      <c r="G42" s="48"/>
    </row>
    <row r="43" spans="1:7" ht="12.75" x14ac:dyDescent="0.2">
      <c r="A43" s="47" t="s">
        <v>48</v>
      </c>
      <c r="B43" s="47">
        <v>8</v>
      </c>
      <c r="C43" s="47"/>
      <c r="D43" s="47">
        <v>90183929</v>
      </c>
      <c r="E43" s="47" t="s">
        <v>120</v>
      </c>
      <c r="F43" s="49" t="s">
        <v>30</v>
      </c>
      <c r="G43" s="48" t="s">
        <v>314</v>
      </c>
    </row>
    <row r="44" spans="1:7" ht="12.75" x14ac:dyDescent="0.2">
      <c r="A44" s="47" t="s">
        <v>55</v>
      </c>
      <c r="B44" s="47">
        <v>20</v>
      </c>
      <c r="C44" s="47"/>
      <c r="D44" s="47">
        <v>90183929</v>
      </c>
      <c r="E44" s="47" t="s">
        <v>120</v>
      </c>
      <c r="F44" s="54" t="s">
        <v>30</v>
      </c>
      <c r="G44" s="48" t="s">
        <v>314</v>
      </c>
    </row>
    <row r="45" spans="1:7" ht="12.75" x14ac:dyDescent="0.2">
      <c r="A45" s="47" t="s">
        <v>56</v>
      </c>
      <c r="B45" s="47">
        <v>20</v>
      </c>
      <c r="C45" s="47"/>
      <c r="D45" s="47">
        <v>90183929</v>
      </c>
      <c r="E45" s="47" t="s">
        <v>120</v>
      </c>
      <c r="F45" s="54" t="s">
        <v>30</v>
      </c>
      <c r="G45" s="48" t="s">
        <v>314</v>
      </c>
    </row>
    <row r="46" spans="1:7" s="46" customFormat="1" x14ac:dyDescent="0.25">
      <c r="A46" s="47" t="s">
        <v>62</v>
      </c>
      <c r="B46" s="47">
        <v>150</v>
      </c>
      <c r="C46" s="47"/>
      <c r="D46" s="47">
        <v>30042051</v>
      </c>
      <c r="E46" s="47" t="s">
        <v>120</v>
      </c>
      <c r="F46" s="54" t="s">
        <v>97</v>
      </c>
      <c r="G46" s="48" t="s">
        <v>326</v>
      </c>
    </row>
    <row r="47" spans="1:7" s="46" customFormat="1" x14ac:dyDescent="0.25">
      <c r="A47" s="47" t="s">
        <v>59</v>
      </c>
      <c r="B47" s="47">
        <v>30</v>
      </c>
      <c r="C47" s="47"/>
      <c r="D47" s="47">
        <v>30049099</v>
      </c>
      <c r="E47" s="47" t="s">
        <v>120</v>
      </c>
      <c r="F47" s="54" t="s">
        <v>97</v>
      </c>
      <c r="G47" s="48" t="s">
        <v>326</v>
      </c>
    </row>
    <row r="48" spans="1:7" ht="12.75" x14ac:dyDescent="0.2">
      <c r="A48" s="47" t="s">
        <v>296</v>
      </c>
      <c r="B48" s="47">
        <v>10</v>
      </c>
      <c r="C48" s="47"/>
      <c r="D48" s="47"/>
      <c r="E48" s="47"/>
      <c r="F48" s="54"/>
      <c r="G48" s="48" t="s">
        <v>315</v>
      </c>
    </row>
    <row r="49" spans="1:7" ht="12.75" x14ac:dyDescent="0.2">
      <c r="A49" s="47" t="s">
        <v>298</v>
      </c>
      <c r="B49" s="47">
        <v>10</v>
      </c>
      <c r="C49" s="47"/>
      <c r="D49" s="47"/>
      <c r="E49" s="47"/>
      <c r="F49" s="54"/>
      <c r="G49" s="48" t="s">
        <v>315</v>
      </c>
    </row>
    <row r="50" spans="1:7" ht="12.75" x14ac:dyDescent="0.2">
      <c r="A50" s="47" t="s">
        <v>299</v>
      </c>
      <c r="B50" s="47">
        <v>6</v>
      </c>
      <c r="C50" s="47" t="s">
        <v>393</v>
      </c>
      <c r="D50" s="47"/>
      <c r="E50" s="47"/>
      <c r="F50" s="54"/>
      <c r="G50" s="48" t="s">
        <v>338</v>
      </c>
    </row>
    <row r="51" spans="1:7" ht="12.75" x14ac:dyDescent="0.2">
      <c r="A51" s="47" t="s">
        <v>300</v>
      </c>
      <c r="B51" s="47">
        <v>6</v>
      </c>
      <c r="C51" s="47" t="s">
        <v>393</v>
      </c>
      <c r="D51" s="47"/>
      <c r="E51" s="47"/>
      <c r="F51" s="54"/>
      <c r="G51" s="48" t="s">
        <v>338</v>
      </c>
    </row>
    <row r="52" spans="1:7" ht="12.75" x14ac:dyDescent="0.2">
      <c r="A52" s="47" t="s">
        <v>60</v>
      </c>
      <c r="B52" s="47">
        <v>10</v>
      </c>
      <c r="C52" s="47" t="s">
        <v>369</v>
      </c>
      <c r="D52" s="47">
        <v>28272090</v>
      </c>
      <c r="E52" s="47" t="s">
        <v>120</v>
      </c>
      <c r="F52" s="54" t="s">
        <v>97</v>
      </c>
      <c r="G52" s="48" t="s">
        <v>338</v>
      </c>
    </row>
    <row r="53" spans="1:7" ht="12.75" x14ac:dyDescent="0.2">
      <c r="A53" s="47" t="s">
        <v>555</v>
      </c>
      <c r="B53" s="47">
        <v>20</v>
      </c>
      <c r="C53" s="47"/>
      <c r="D53" s="47">
        <v>30049099</v>
      </c>
      <c r="E53" s="47" t="s">
        <v>120</v>
      </c>
      <c r="F53" s="54" t="s">
        <v>97</v>
      </c>
      <c r="G53" s="48" t="s">
        <v>326</v>
      </c>
    </row>
    <row r="54" spans="1:7" ht="12.75" x14ac:dyDescent="0.2">
      <c r="A54" s="47" t="s">
        <v>64</v>
      </c>
      <c r="B54" s="47">
        <v>12</v>
      </c>
      <c r="C54" s="47"/>
      <c r="D54" s="47">
        <v>30012090</v>
      </c>
      <c r="E54" s="47" t="s">
        <v>120</v>
      </c>
      <c r="F54" s="54" t="s">
        <v>97</v>
      </c>
      <c r="G54" s="48" t="s">
        <v>326</v>
      </c>
    </row>
    <row r="55" spans="1:7" ht="12.75" x14ac:dyDescent="0.2">
      <c r="A55" s="47" t="s">
        <v>66</v>
      </c>
      <c r="B55" s="47">
        <v>20</v>
      </c>
      <c r="C55" s="47"/>
      <c r="D55" s="47">
        <v>30042099</v>
      </c>
      <c r="E55" s="47" t="s">
        <v>120</v>
      </c>
      <c r="F55" s="54" t="s">
        <v>97</v>
      </c>
      <c r="G55" s="48" t="s">
        <v>326</v>
      </c>
    </row>
    <row r="56" spans="1:7" ht="12.75" customHeight="1" x14ac:dyDescent="0.2">
      <c r="A56" s="47" t="s">
        <v>244</v>
      </c>
      <c r="B56" s="47">
        <v>15</v>
      </c>
      <c r="C56" s="47" t="s">
        <v>357</v>
      </c>
      <c r="D56" s="53">
        <v>30049039</v>
      </c>
      <c r="E56" s="47" t="s">
        <v>120</v>
      </c>
      <c r="F56" s="54" t="s">
        <v>30</v>
      </c>
      <c r="G56" s="48" t="s">
        <v>326</v>
      </c>
    </row>
    <row r="57" spans="1:7" ht="12.75" customHeight="1" x14ac:dyDescent="0.2">
      <c r="A57" s="47" t="s">
        <v>236</v>
      </c>
      <c r="B57" s="47">
        <v>20</v>
      </c>
      <c r="C57" s="47" t="s">
        <v>357</v>
      </c>
      <c r="D57" s="53">
        <v>30049032</v>
      </c>
      <c r="E57" s="47" t="s">
        <v>120</v>
      </c>
      <c r="F57" s="54" t="s">
        <v>30</v>
      </c>
      <c r="G57" s="48" t="s">
        <v>326</v>
      </c>
    </row>
    <row r="58" spans="1:7" ht="12.75" customHeight="1" x14ac:dyDescent="0.2">
      <c r="A58" s="47" t="s">
        <v>235</v>
      </c>
      <c r="B58" s="47">
        <v>14</v>
      </c>
      <c r="C58" s="47" t="s">
        <v>357</v>
      </c>
      <c r="D58" s="53">
        <v>30049039</v>
      </c>
      <c r="E58" s="47" t="s">
        <v>120</v>
      </c>
      <c r="F58" s="54" t="s">
        <v>30</v>
      </c>
      <c r="G58" s="48" t="s">
        <v>326</v>
      </c>
    </row>
    <row r="59" spans="1:7" ht="12.75" customHeight="1" x14ac:dyDescent="0.2">
      <c r="A59" s="47" t="s">
        <v>245</v>
      </c>
      <c r="B59" s="47">
        <v>5</v>
      </c>
      <c r="C59" s="47" t="s">
        <v>357</v>
      </c>
      <c r="D59" s="53">
        <v>30049039</v>
      </c>
      <c r="E59" s="47" t="s">
        <v>120</v>
      </c>
      <c r="F59" s="54" t="s">
        <v>30</v>
      </c>
      <c r="G59" s="48" t="s">
        <v>326</v>
      </c>
    </row>
    <row r="60" spans="1:7" ht="12.75" x14ac:dyDescent="0.2">
      <c r="A60" s="47" t="s">
        <v>324</v>
      </c>
      <c r="B60" s="47">
        <v>2</v>
      </c>
      <c r="C60" s="47" t="s">
        <v>385</v>
      </c>
      <c r="D60" s="53"/>
      <c r="E60" s="47"/>
      <c r="F60" s="54"/>
      <c r="G60" s="48" t="s">
        <v>326</v>
      </c>
    </row>
    <row r="61" spans="1:7" ht="12.75" x14ac:dyDescent="0.2">
      <c r="A61" s="47" t="s">
        <v>65</v>
      </c>
      <c r="B61" s="47">
        <v>4</v>
      </c>
      <c r="C61" s="47" t="s">
        <v>357</v>
      </c>
      <c r="D61" s="47">
        <v>30042099</v>
      </c>
      <c r="E61" s="47" t="s">
        <v>120</v>
      </c>
      <c r="F61" s="54" t="s">
        <v>97</v>
      </c>
      <c r="G61" s="48" t="s">
        <v>326</v>
      </c>
    </row>
    <row r="62" spans="1:7" ht="12.75" customHeight="1" x14ac:dyDescent="0.2">
      <c r="A62" s="47" t="s">
        <v>257</v>
      </c>
      <c r="B62" s="47">
        <v>50</v>
      </c>
      <c r="C62" s="47" t="s">
        <v>357</v>
      </c>
      <c r="D62" s="53">
        <v>30049099</v>
      </c>
      <c r="E62" s="47" t="s">
        <v>120</v>
      </c>
      <c r="F62" s="54" t="s">
        <v>30</v>
      </c>
      <c r="G62" s="48" t="s">
        <v>326</v>
      </c>
    </row>
    <row r="63" spans="1:7" ht="12.75" customHeight="1" x14ac:dyDescent="0.2">
      <c r="A63" s="47" t="s">
        <v>246</v>
      </c>
      <c r="B63" s="47">
        <v>3</v>
      </c>
      <c r="C63" s="47" t="s">
        <v>357</v>
      </c>
      <c r="D63" s="53">
        <v>30049099</v>
      </c>
      <c r="E63" s="47" t="s">
        <v>120</v>
      </c>
      <c r="F63" s="54" t="s">
        <v>30</v>
      </c>
      <c r="G63" s="48" t="s">
        <v>326</v>
      </c>
    </row>
    <row r="64" spans="1:7" ht="12.75" customHeight="1" x14ac:dyDescent="0.2">
      <c r="A64" s="47" t="s">
        <v>247</v>
      </c>
      <c r="B64" s="47">
        <v>20</v>
      </c>
      <c r="C64" s="47" t="s">
        <v>357</v>
      </c>
      <c r="D64" s="53">
        <v>30049039</v>
      </c>
      <c r="E64" s="47" t="s">
        <v>120</v>
      </c>
      <c r="F64" s="54" t="s">
        <v>30</v>
      </c>
      <c r="G64" s="48" t="s">
        <v>326</v>
      </c>
    </row>
    <row r="65" spans="1:7" ht="12.75" customHeight="1" x14ac:dyDescent="0.2">
      <c r="A65" s="47" t="s">
        <v>248</v>
      </c>
      <c r="B65" s="47">
        <v>20</v>
      </c>
      <c r="C65" s="47" t="s">
        <v>357</v>
      </c>
      <c r="D65" s="53">
        <v>30049069</v>
      </c>
      <c r="E65" s="47" t="s">
        <v>120</v>
      </c>
      <c r="F65" s="54" t="s">
        <v>30</v>
      </c>
      <c r="G65" s="48" t="s">
        <v>326</v>
      </c>
    </row>
    <row r="66" spans="1:7" ht="12.75" customHeight="1" x14ac:dyDescent="0.2">
      <c r="A66" s="47" t="s">
        <v>154</v>
      </c>
      <c r="B66" s="47">
        <v>25</v>
      </c>
      <c r="C66" s="47" t="s">
        <v>357</v>
      </c>
      <c r="D66" s="47" t="s">
        <v>101</v>
      </c>
      <c r="E66" s="47" t="s">
        <v>120</v>
      </c>
      <c r="F66" s="54" t="s">
        <v>97</v>
      </c>
      <c r="G66" s="48" t="s">
        <v>326</v>
      </c>
    </row>
    <row r="67" spans="1:7" ht="12.75" x14ac:dyDescent="0.2">
      <c r="A67" s="47" t="s">
        <v>67</v>
      </c>
      <c r="B67" s="47">
        <v>10</v>
      </c>
      <c r="C67" s="47"/>
      <c r="D67" s="47">
        <v>90183929</v>
      </c>
      <c r="E67" s="47" t="s">
        <v>120</v>
      </c>
      <c r="F67" s="54" t="s">
        <v>30</v>
      </c>
      <c r="G67" s="48" t="s">
        <v>329</v>
      </c>
    </row>
    <row r="68" spans="1:7" ht="12.75" customHeight="1" x14ac:dyDescent="0.2">
      <c r="A68" s="47" t="s">
        <v>68</v>
      </c>
      <c r="B68" s="47">
        <v>7</v>
      </c>
      <c r="C68" s="47" t="s">
        <v>373</v>
      </c>
      <c r="D68" s="47">
        <v>48191000</v>
      </c>
      <c r="E68" s="47" t="s">
        <v>120</v>
      </c>
      <c r="F68" s="54" t="s">
        <v>30</v>
      </c>
      <c r="G68" s="48" t="s">
        <v>339</v>
      </c>
    </row>
    <row r="69" spans="1:7" ht="12.75" x14ac:dyDescent="0.2">
      <c r="A69" s="47" t="s">
        <v>69</v>
      </c>
      <c r="B69" s="47">
        <v>5</v>
      </c>
      <c r="C69" s="47"/>
      <c r="D69" s="47">
        <v>30059090</v>
      </c>
      <c r="E69" s="47" t="s">
        <v>120</v>
      </c>
      <c r="F69" s="54" t="s">
        <v>30</v>
      </c>
      <c r="G69" s="48" t="s">
        <v>334</v>
      </c>
    </row>
    <row r="70" spans="1:7" ht="12.75" x14ac:dyDescent="0.2">
      <c r="A70" s="47" t="s">
        <v>267</v>
      </c>
      <c r="B70" s="47">
        <v>50</v>
      </c>
      <c r="C70" s="47"/>
      <c r="D70" s="47">
        <v>30059090</v>
      </c>
      <c r="E70" s="47" t="s">
        <v>120</v>
      </c>
      <c r="F70" s="54" t="s">
        <v>30</v>
      </c>
      <c r="G70" s="48" t="s">
        <v>329</v>
      </c>
    </row>
    <row r="71" spans="1:7" ht="12.75" x14ac:dyDescent="0.2">
      <c r="A71" s="47" t="s">
        <v>71</v>
      </c>
      <c r="B71" s="47">
        <v>10</v>
      </c>
      <c r="C71" s="47"/>
      <c r="D71" s="47">
        <v>90192010</v>
      </c>
      <c r="E71" s="47" t="s">
        <v>120</v>
      </c>
      <c r="F71" s="54" t="s">
        <v>30</v>
      </c>
      <c r="G71" s="48" t="s">
        <v>315</v>
      </c>
    </row>
    <row r="72" spans="1:7" ht="12.75" x14ac:dyDescent="0.2">
      <c r="A72" s="47" t="s">
        <v>72</v>
      </c>
      <c r="B72" s="47">
        <v>2</v>
      </c>
      <c r="C72" s="47"/>
      <c r="D72" s="47">
        <v>39174090</v>
      </c>
      <c r="E72" s="47" t="s">
        <v>120</v>
      </c>
      <c r="F72" s="54" t="s">
        <v>30</v>
      </c>
      <c r="G72" s="48" t="s">
        <v>315</v>
      </c>
    </row>
    <row r="73" spans="1:7" ht="12.75" x14ac:dyDescent="0.2">
      <c r="A73" s="47" t="s">
        <v>70</v>
      </c>
      <c r="B73" s="47">
        <v>10</v>
      </c>
      <c r="C73" s="47"/>
      <c r="D73" s="47">
        <v>39174090</v>
      </c>
      <c r="E73" s="47" t="s">
        <v>120</v>
      </c>
      <c r="F73" s="54" t="s">
        <v>30</v>
      </c>
      <c r="G73" s="48" t="s">
        <v>315</v>
      </c>
    </row>
    <row r="74" spans="1:7" ht="12.75" x14ac:dyDescent="0.2">
      <c r="A74" s="47" t="s">
        <v>73</v>
      </c>
      <c r="B74" s="47">
        <v>1</v>
      </c>
      <c r="C74" s="47" t="s">
        <v>373</v>
      </c>
      <c r="D74" s="47">
        <v>39232190</v>
      </c>
      <c r="E74" s="47" t="s">
        <v>120</v>
      </c>
      <c r="F74" s="55" t="s">
        <v>288</v>
      </c>
      <c r="G74" s="48"/>
    </row>
    <row r="75" spans="1:7" ht="12.75" customHeight="1" x14ac:dyDescent="0.2">
      <c r="A75" s="47" t="s">
        <v>74</v>
      </c>
      <c r="B75" s="47">
        <v>5</v>
      </c>
      <c r="C75" s="47" t="s">
        <v>373</v>
      </c>
      <c r="D75" s="47">
        <v>30059090</v>
      </c>
      <c r="E75" s="47" t="s">
        <v>120</v>
      </c>
      <c r="F75" s="54" t="s">
        <v>30</v>
      </c>
      <c r="G75" s="48" t="s">
        <v>330</v>
      </c>
    </row>
    <row r="76" spans="1:7" ht="12.75" customHeight="1" x14ac:dyDescent="0.2">
      <c r="A76" s="47" t="s">
        <v>75</v>
      </c>
      <c r="B76" s="48">
        <v>1</v>
      </c>
      <c r="C76" s="51" t="s">
        <v>373</v>
      </c>
      <c r="D76" s="48">
        <v>30059090</v>
      </c>
      <c r="E76" s="52" t="s">
        <v>120</v>
      </c>
      <c r="F76" s="51" t="s">
        <v>30</v>
      </c>
      <c r="G76" s="48" t="s">
        <v>325</v>
      </c>
    </row>
    <row r="77" spans="1:7" ht="12.75" x14ac:dyDescent="0.2">
      <c r="A77" s="47" t="s">
        <v>301</v>
      </c>
      <c r="B77" s="47">
        <v>30</v>
      </c>
      <c r="C77" s="47"/>
      <c r="D77" s="47">
        <v>29372210</v>
      </c>
      <c r="E77" s="47" t="s">
        <v>120</v>
      </c>
      <c r="F77" s="54" t="s">
        <v>97</v>
      </c>
      <c r="G77" s="48" t="s">
        <v>326</v>
      </c>
    </row>
    <row r="78" spans="1:7" ht="12.75" customHeight="1" x14ac:dyDescent="0.2">
      <c r="A78" s="47" t="s">
        <v>249</v>
      </c>
      <c r="B78" s="47">
        <v>2</v>
      </c>
      <c r="C78" s="47" t="s">
        <v>357</v>
      </c>
      <c r="D78" s="53">
        <v>30049032</v>
      </c>
      <c r="E78" s="47" t="s">
        <v>120</v>
      </c>
      <c r="F78" s="54" t="s">
        <v>30</v>
      </c>
      <c r="G78" s="48" t="s">
        <v>326</v>
      </c>
    </row>
    <row r="79" spans="1:7" ht="12.75" x14ac:dyDescent="0.2">
      <c r="A79" s="47" t="s">
        <v>287</v>
      </c>
      <c r="B79" s="47">
        <v>2</v>
      </c>
      <c r="C79" s="47" t="s">
        <v>374</v>
      </c>
      <c r="D79" s="47">
        <v>30039099</v>
      </c>
      <c r="E79" s="47" t="s">
        <v>120</v>
      </c>
      <c r="F79" s="54" t="s">
        <v>97</v>
      </c>
      <c r="G79" s="48" t="s">
        <v>337</v>
      </c>
    </row>
    <row r="80" spans="1:7" ht="12.75" x14ac:dyDescent="0.2">
      <c r="A80" s="47" t="s">
        <v>276</v>
      </c>
      <c r="B80" s="47">
        <v>2</v>
      </c>
      <c r="C80" s="47" t="s">
        <v>374</v>
      </c>
      <c r="D80" s="47">
        <v>30039099</v>
      </c>
      <c r="E80" s="47" t="s">
        <v>120</v>
      </c>
      <c r="F80" s="54" t="s">
        <v>97</v>
      </c>
      <c r="G80" s="48" t="s">
        <v>337</v>
      </c>
    </row>
    <row r="81" spans="1:7" ht="12.75" x14ac:dyDescent="0.2">
      <c r="A81" s="47" t="s">
        <v>78</v>
      </c>
      <c r="B81" s="47">
        <v>3</v>
      </c>
      <c r="C81" s="47"/>
      <c r="D81" s="47">
        <v>90183921</v>
      </c>
      <c r="E81" s="47" t="s">
        <v>120</v>
      </c>
      <c r="F81" s="54" t="s">
        <v>30</v>
      </c>
      <c r="G81" s="48" t="s">
        <v>329</v>
      </c>
    </row>
    <row r="82" spans="1:7" ht="12.75" x14ac:dyDescent="0.2">
      <c r="A82" s="47" t="s">
        <v>238</v>
      </c>
      <c r="B82" s="47">
        <v>12</v>
      </c>
      <c r="C82" s="47"/>
      <c r="D82" s="53">
        <v>30044100</v>
      </c>
      <c r="E82" s="47" t="s">
        <v>120</v>
      </c>
      <c r="F82" s="54" t="s">
        <v>30</v>
      </c>
      <c r="G82" s="48" t="s">
        <v>326</v>
      </c>
    </row>
    <row r="83" spans="1:7" s="46" customFormat="1" x14ac:dyDescent="0.25">
      <c r="A83" s="47" t="s">
        <v>440</v>
      </c>
      <c r="B83" s="47">
        <v>300</v>
      </c>
      <c r="C83" s="47"/>
      <c r="D83" s="47" t="s">
        <v>40</v>
      </c>
      <c r="E83" s="47" t="s">
        <v>120</v>
      </c>
      <c r="F83" s="54" t="s">
        <v>30</v>
      </c>
      <c r="G83" s="48" t="s">
        <v>329</v>
      </c>
    </row>
    <row r="84" spans="1:7" s="46" customFormat="1" x14ac:dyDescent="0.25">
      <c r="A84" s="47" t="s">
        <v>80</v>
      </c>
      <c r="B84" s="47">
        <v>50</v>
      </c>
      <c r="C84" s="47"/>
      <c r="D84" s="47">
        <v>48189090</v>
      </c>
      <c r="E84" s="47" t="s">
        <v>120</v>
      </c>
      <c r="F84" s="54" t="s">
        <v>30</v>
      </c>
      <c r="G84" s="48" t="s">
        <v>329</v>
      </c>
    </row>
    <row r="85" spans="1:7" ht="12.75" x14ac:dyDescent="0.2">
      <c r="A85" s="47" t="s">
        <v>83</v>
      </c>
      <c r="B85" s="47">
        <v>70</v>
      </c>
      <c r="C85" s="47" t="s">
        <v>361</v>
      </c>
      <c r="D85" s="47">
        <v>90189010</v>
      </c>
      <c r="E85" s="47" t="s">
        <v>120</v>
      </c>
      <c r="F85" s="54" t="s">
        <v>30</v>
      </c>
      <c r="G85" s="48" t="s">
        <v>315</v>
      </c>
    </row>
    <row r="86" spans="1:7" ht="12.75" x14ac:dyDescent="0.2">
      <c r="A86" s="47" t="s">
        <v>84</v>
      </c>
      <c r="B86" s="47">
        <v>70</v>
      </c>
      <c r="C86" s="47" t="s">
        <v>361</v>
      </c>
      <c r="D86" s="47">
        <v>90189010</v>
      </c>
      <c r="E86" s="47" t="s">
        <v>120</v>
      </c>
      <c r="F86" s="54" t="s">
        <v>30</v>
      </c>
      <c r="G86" s="48" t="s">
        <v>315</v>
      </c>
    </row>
    <row r="87" spans="1:7" ht="12.75" x14ac:dyDescent="0.2">
      <c r="A87" s="47" t="s">
        <v>85</v>
      </c>
      <c r="B87" s="47"/>
      <c r="C87" s="47"/>
      <c r="D87" s="47"/>
      <c r="E87" s="47"/>
      <c r="F87" s="54"/>
      <c r="G87" s="48"/>
    </row>
    <row r="88" spans="1:7" ht="12.75" x14ac:dyDescent="0.2">
      <c r="A88" s="47" t="s">
        <v>87</v>
      </c>
      <c r="B88" s="47">
        <v>80</v>
      </c>
      <c r="C88" s="47"/>
      <c r="D88" s="47">
        <v>90189010</v>
      </c>
      <c r="E88" s="47" t="s">
        <v>120</v>
      </c>
      <c r="F88" s="54" t="s">
        <v>30</v>
      </c>
      <c r="G88" s="48" t="s">
        <v>315</v>
      </c>
    </row>
    <row r="89" spans="1:7" s="46" customFormat="1" x14ac:dyDescent="0.25">
      <c r="A89" s="47" t="s">
        <v>88</v>
      </c>
      <c r="B89" s="48">
        <v>20</v>
      </c>
      <c r="C89" s="48" t="s">
        <v>373</v>
      </c>
      <c r="D89" s="48">
        <v>30051090</v>
      </c>
      <c r="E89" s="48" t="s">
        <v>120</v>
      </c>
      <c r="F89" s="48" t="s">
        <v>30</v>
      </c>
      <c r="G89" s="48" t="s">
        <v>329</v>
      </c>
    </row>
    <row r="90" spans="1:7" ht="12.75" customHeight="1" x14ac:dyDescent="0.2">
      <c r="A90" s="47" t="s">
        <v>89</v>
      </c>
      <c r="B90" s="47">
        <v>20</v>
      </c>
      <c r="C90" s="47" t="s">
        <v>373</v>
      </c>
      <c r="D90" s="47">
        <v>30051090</v>
      </c>
      <c r="E90" s="47" t="s">
        <v>120</v>
      </c>
      <c r="F90" s="54" t="s">
        <v>30</v>
      </c>
      <c r="G90" s="48" t="s">
        <v>329</v>
      </c>
    </row>
    <row r="91" spans="1:7" ht="12.75" customHeight="1" x14ac:dyDescent="0.2">
      <c r="A91" s="47" t="s">
        <v>90</v>
      </c>
      <c r="B91" s="47">
        <v>4</v>
      </c>
      <c r="C91" s="47" t="s">
        <v>357</v>
      </c>
      <c r="D91" s="47">
        <v>30049039</v>
      </c>
      <c r="E91" s="47" t="s">
        <v>120</v>
      </c>
      <c r="F91" s="54" t="s">
        <v>97</v>
      </c>
      <c r="G91" s="48" t="s">
        <v>326</v>
      </c>
    </row>
    <row r="92" spans="1:7" ht="12.75" x14ac:dyDescent="0.2">
      <c r="A92" s="47" t="s">
        <v>91</v>
      </c>
      <c r="B92" s="47">
        <v>25</v>
      </c>
      <c r="C92" s="47"/>
      <c r="D92" s="47">
        <v>90183929</v>
      </c>
      <c r="E92" s="47" t="s">
        <v>120</v>
      </c>
      <c r="F92" s="54" t="s">
        <v>30</v>
      </c>
      <c r="G92" s="48" t="s">
        <v>331</v>
      </c>
    </row>
    <row r="93" spans="1:7" ht="12.75" customHeight="1" x14ac:dyDescent="0.2">
      <c r="A93" s="47" t="s">
        <v>242</v>
      </c>
      <c r="B93" s="47">
        <v>50</v>
      </c>
      <c r="C93" s="47" t="s">
        <v>357</v>
      </c>
      <c r="D93" s="53">
        <v>30049099</v>
      </c>
      <c r="E93" s="47" t="s">
        <v>120</v>
      </c>
      <c r="F93" s="54" t="s">
        <v>30</v>
      </c>
      <c r="G93" s="47" t="s">
        <v>326</v>
      </c>
    </row>
    <row r="94" spans="1:7" ht="12.75" x14ac:dyDescent="0.2">
      <c r="A94" s="47" t="s">
        <v>92</v>
      </c>
      <c r="B94" s="48">
        <v>50</v>
      </c>
      <c r="C94" s="51" t="s">
        <v>361</v>
      </c>
      <c r="D94" s="48">
        <v>90189099</v>
      </c>
      <c r="E94" s="48" t="s">
        <v>120</v>
      </c>
      <c r="F94" s="48" t="s">
        <v>30</v>
      </c>
      <c r="G94" s="48" t="s">
        <v>314</v>
      </c>
    </row>
    <row r="95" spans="1:7" ht="12.75" x14ac:dyDescent="0.2">
      <c r="A95" s="47" t="s">
        <v>93</v>
      </c>
      <c r="B95" s="48">
        <v>70</v>
      </c>
      <c r="C95" s="51" t="s">
        <v>361</v>
      </c>
      <c r="D95" s="48">
        <v>90189099</v>
      </c>
      <c r="E95" s="52" t="s">
        <v>120</v>
      </c>
      <c r="F95" s="51" t="s">
        <v>30</v>
      </c>
      <c r="G95" s="48" t="s">
        <v>314</v>
      </c>
    </row>
    <row r="96" spans="1:7" s="6" customFormat="1" ht="12.75" customHeight="1" x14ac:dyDescent="0.2">
      <c r="A96" s="57" t="s">
        <v>271</v>
      </c>
      <c r="B96" s="61">
        <v>1</v>
      </c>
      <c r="C96" s="60" t="s">
        <v>293</v>
      </c>
      <c r="D96" s="58">
        <v>30061090</v>
      </c>
      <c r="E96" s="57" t="s">
        <v>292</v>
      </c>
      <c r="F96" s="59" t="s">
        <v>30</v>
      </c>
      <c r="G96" s="60" t="s">
        <v>341</v>
      </c>
    </row>
    <row r="97" spans="1:7" s="6" customFormat="1" ht="12.75" customHeight="1" x14ac:dyDescent="0.2">
      <c r="A97" s="57" t="s">
        <v>270</v>
      </c>
      <c r="B97" s="61">
        <v>1</v>
      </c>
      <c r="C97" s="60" t="s">
        <v>293</v>
      </c>
      <c r="D97" s="58">
        <v>30061090</v>
      </c>
      <c r="E97" s="57" t="s">
        <v>292</v>
      </c>
      <c r="F97" s="59" t="s">
        <v>30</v>
      </c>
      <c r="G97" s="60" t="s">
        <v>341</v>
      </c>
    </row>
    <row r="98" spans="1:7" s="6" customFormat="1" ht="12.75" customHeight="1" x14ac:dyDescent="0.2">
      <c r="A98" s="57" t="s">
        <v>272</v>
      </c>
      <c r="B98" s="61">
        <v>1</v>
      </c>
      <c r="C98" s="60" t="s">
        <v>293</v>
      </c>
      <c r="D98" s="58">
        <v>30061090</v>
      </c>
      <c r="E98" s="57" t="s">
        <v>292</v>
      </c>
      <c r="F98" s="59" t="s">
        <v>30</v>
      </c>
      <c r="G98" s="60" t="s">
        <v>341</v>
      </c>
    </row>
    <row r="99" spans="1:7" s="6" customFormat="1" ht="12.75" customHeight="1" x14ac:dyDescent="0.2">
      <c r="A99" s="57" t="s">
        <v>273</v>
      </c>
      <c r="B99" s="61">
        <v>1</v>
      </c>
      <c r="C99" s="60" t="s">
        <v>293</v>
      </c>
      <c r="D99" s="58">
        <v>30061090</v>
      </c>
      <c r="E99" s="57" t="s">
        <v>292</v>
      </c>
      <c r="F99" s="59" t="s">
        <v>30</v>
      </c>
      <c r="G99" s="60" t="s">
        <v>341</v>
      </c>
    </row>
    <row r="100" spans="1:7" s="1" customFormat="1" x14ac:dyDescent="0.25">
      <c r="A100" s="57" t="s">
        <v>274</v>
      </c>
      <c r="B100" s="61">
        <v>1</v>
      </c>
      <c r="C100" s="60" t="s">
        <v>293</v>
      </c>
      <c r="D100" s="58">
        <v>30061090</v>
      </c>
      <c r="E100" s="57" t="s">
        <v>292</v>
      </c>
      <c r="F100" s="59" t="s">
        <v>30</v>
      </c>
      <c r="G100" s="60" t="s">
        <v>341</v>
      </c>
    </row>
    <row r="101" spans="1:7" s="1" customFormat="1" x14ac:dyDescent="0.25">
      <c r="A101" s="57" t="s">
        <v>220</v>
      </c>
      <c r="B101" s="61">
        <v>1</v>
      </c>
      <c r="C101" s="60" t="s">
        <v>293</v>
      </c>
      <c r="D101" s="58">
        <v>30061090</v>
      </c>
      <c r="E101" s="57" t="s">
        <v>292</v>
      </c>
      <c r="F101" s="59" t="s">
        <v>30</v>
      </c>
      <c r="G101" s="60" t="s">
        <v>341</v>
      </c>
    </row>
    <row r="102" spans="1:7" s="1" customFormat="1" x14ac:dyDescent="0.25">
      <c r="A102" s="57" t="s">
        <v>275</v>
      </c>
      <c r="B102" s="61">
        <v>1</v>
      </c>
      <c r="C102" s="60" t="s">
        <v>293</v>
      </c>
      <c r="D102" s="58">
        <v>30061090</v>
      </c>
      <c r="E102" s="57" t="s">
        <v>292</v>
      </c>
      <c r="F102" s="59" t="s">
        <v>30</v>
      </c>
      <c r="G102" s="60" t="s">
        <v>341</v>
      </c>
    </row>
    <row r="103" spans="1:7" s="1" customFormat="1" x14ac:dyDescent="0.25">
      <c r="A103" s="57" t="s">
        <v>253</v>
      </c>
      <c r="B103" s="57">
        <v>6</v>
      </c>
      <c r="C103" s="60" t="s">
        <v>293</v>
      </c>
      <c r="D103" s="58">
        <v>30061090</v>
      </c>
      <c r="E103" s="57" t="s">
        <v>292</v>
      </c>
      <c r="F103" s="59" t="s">
        <v>30</v>
      </c>
      <c r="G103" s="60" t="s">
        <v>341</v>
      </c>
    </row>
    <row r="104" spans="1:7" s="6" customFormat="1" ht="12.75" customHeight="1" x14ac:dyDescent="0.2">
      <c r="A104" s="57" t="s">
        <v>221</v>
      </c>
      <c r="B104" s="57">
        <v>1</v>
      </c>
      <c r="C104" s="60" t="s">
        <v>293</v>
      </c>
      <c r="D104" s="58">
        <v>30061090</v>
      </c>
      <c r="E104" s="57" t="s">
        <v>292</v>
      </c>
      <c r="F104" s="59" t="s">
        <v>30</v>
      </c>
      <c r="G104" s="60" t="s">
        <v>341</v>
      </c>
    </row>
    <row r="105" spans="1:7" s="6" customFormat="1" ht="12.75" customHeight="1" x14ac:dyDescent="0.2">
      <c r="A105" s="57" t="s">
        <v>294</v>
      </c>
      <c r="B105" s="57">
        <v>1</v>
      </c>
      <c r="C105" s="60" t="s">
        <v>293</v>
      </c>
      <c r="D105" s="58">
        <v>30061090</v>
      </c>
      <c r="E105" s="57" t="s">
        <v>292</v>
      </c>
      <c r="F105" s="59" t="s">
        <v>30</v>
      </c>
      <c r="G105" s="60" t="s">
        <v>341</v>
      </c>
    </row>
    <row r="106" spans="1:7" s="1" customFormat="1" x14ac:dyDescent="0.25">
      <c r="A106" s="57" t="s">
        <v>222</v>
      </c>
      <c r="B106" s="57">
        <v>1</v>
      </c>
      <c r="C106" s="60" t="s">
        <v>293</v>
      </c>
      <c r="D106" s="58">
        <v>30061090</v>
      </c>
      <c r="E106" s="57" t="s">
        <v>292</v>
      </c>
      <c r="F106" s="59" t="s">
        <v>30</v>
      </c>
      <c r="G106" s="60" t="s">
        <v>341</v>
      </c>
    </row>
    <row r="107" spans="1:7" s="1" customFormat="1" x14ac:dyDescent="0.25">
      <c r="A107" s="57" t="s">
        <v>223</v>
      </c>
      <c r="B107" s="57">
        <v>1</v>
      </c>
      <c r="C107" s="60" t="s">
        <v>293</v>
      </c>
      <c r="D107" s="58">
        <v>30061090</v>
      </c>
      <c r="E107" s="57" t="s">
        <v>292</v>
      </c>
      <c r="F107" s="59" t="s">
        <v>30</v>
      </c>
      <c r="G107" s="60" t="s">
        <v>341</v>
      </c>
    </row>
    <row r="108" spans="1:7" s="1" customFormat="1" x14ac:dyDescent="0.25">
      <c r="A108" s="57" t="s">
        <v>359</v>
      </c>
      <c r="B108" s="57">
        <v>6</v>
      </c>
      <c r="C108" s="60" t="s">
        <v>293</v>
      </c>
      <c r="D108" s="58">
        <v>30061090</v>
      </c>
      <c r="E108" s="57" t="s">
        <v>292</v>
      </c>
      <c r="F108" s="59" t="s">
        <v>30</v>
      </c>
      <c r="G108" s="60" t="s">
        <v>341</v>
      </c>
    </row>
    <row r="109" spans="1:7" s="1" customFormat="1" x14ac:dyDescent="0.25">
      <c r="A109" s="57" t="s">
        <v>224</v>
      </c>
      <c r="B109" s="57">
        <v>1</v>
      </c>
      <c r="C109" s="60" t="s">
        <v>293</v>
      </c>
      <c r="D109" s="58">
        <v>30061090</v>
      </c>
      <c r="E109" s="57" t="s">
        <v>292</v>
      </c>
      <c r="F109" s="59" t="s">
        <v>30</v>
      </c>
      <c r="G109" s="60" t="s">
        <v>341</v>
      </c>
    </row>
    <row r="110" spans="1:7" s="1" customFormat="1" x14ac:dyDescent="0.25">
      <c r="A110" s="57" t="s">
        <v>225</v>
      </c>
      <c r="B110" s="57">
        <v>10</v>
      </c>
      <c r="C110" s="60" t="s">
        <v>293</v>
      </c>
      <c r="D110" s="58">
        <v>30061090</v>
      </c>
      <c r="E110" s="57" t="s">
        <v>292</v>
      </c>
      <c r="F110" s="59" t="s">
        <v>30</v>
      </c>
      <c r="G110" s="60" t="s">
        <v>341</v>
      </c>
    </row>
    <row r="111" spans="1:7" s="1" customFormat="1" x14ac:dyDescent="0.25">
      <c r="A111" s="57" t="s">
        <v>226</v>
      </c>
      <c r="B111" s="57">
        <v>1</v>
      </c>
      <c r="C111" s="60" t="s">
        <v>293</v>
      </c>
      <c r="D111" s="58">
        <v>30061090</v>
      </c>
      <c r="E111" s="57" t="s">
        <v>292</v>
      </c>
      <c r="F111" s="59" t="s">
        <v>30</v>
      </c>
      <c r="G111" s="60" t="s">
        <v>341</v>
      </c>
    </row>
    <row r="112" spans="1:7" s="6" customFormat="1" ht="12.75" customHeight="1" x14ac:dyDescent="0.2">
      <c r="A112" s="57" t="s">
        <v>227</v>
      </c>
      <c r="B112" s="57">
        <v>1</v>
      </c>
      <c r="C112" s="60" t="s">
        <v>293</v>
      </c>
      <c r="D112" s="58">
        <v>30061090</v>
      </c>
      <c r="E112" s="57" t="s">
        <v>292</v>
      </c>
      <c r="F112" s="59" t="s">
        <v>30</v>
      </c>
      <c r="G112" s="60" t="s">
        <v>341</v>
      </c>
    </row>
    <row r="113" spans="1:7" s="1" customFormat="1" x14ac:dyDescent="0.25">
      <c r="A113" s="57" t="s">
        <v>228</v>
      </c>
      <c r="B113" s="57">
        <v>1</v>
      </c>
      <c r="C113" s="60" t="s">
        <v>293</v>
      </c>
      <c r="D113" s="58">
        <v>30061090</v>
      </c>
      <c r="E113" s="57" t="s">
        <v>292</v>
      </c>
      <c r="F113" s="59" t="s">
        <v>30</v>
      </c>
      <c r="G113" s="60" t="s">
        <v>341</v>
      </c>
    </row>
    <row r="114" spans="1:7" s="6" customFormat="1" ht="12.75" customHeight="1" x14ac:dyDescent="0.2">
      <c r="A114" s="57" t="s">
        <v>229</v>
      </c>
      <c r="B114" s="57">
        <v>1</v>
      </c>
      <c r="C114" s="60" t="s">
        <v>293</v>
      </c>
      <c r="D114" s="58">
        <v>30061090</v>
      </c>
      <c r="E114" s="57" t="s">
        <v>292</v>
      </c>
      <c r="F114" s="59" t="s">
        <v>30</v>
      </c>
      <c r="G114" s="60" t="s">
        <v>341</v>
      </c>
    </row>
    <row r="115" spans="1:7" s="6" customFormat="1" ht="12.75" customHeight="1" x14ac:dyDescent="0.2">
      <c r="A115" s="58" t="s">
        <v>254</v>
      </c>
      <c r="B115" s="57">
        <v>1</v>
      </c>
      <c r="C115" s="60" t="s">
        <v>293</v>
      </c>
      <c r="D115" s="58">
        <v>30061090</v>
      </c>
      <c r="E115" s="57" t="s">
        <v>292</v>
      </c>
      <c r="F115" s="59" t="s">
        <v>30</v>
      </c>
      <c r="G115" s="60" t="s">
        <v>341</v>
      </c>
    </row>
    <row r="116" spans="1:7" s="6" customFormat="1" ht="12.75" customHeight="1" x14ac:dyDescent="0.2">
      <c r="A116" s="57" t="s">
        <v>231</v>
      </c>
      <c r="B116" s="57">
        <v>2</v>
      </c>
      <c r="C116" s="60" t="s">
        <v>293</v>
      </c>
      <c r="D116" s="58">
        <v>30061090</v>
      </c>
      <c r="E116" s="57" t="s">
        <v>292</v>
      </c>
      <c r="F116" s="59" t="s">
        <v>30</v>
      </c>
      <c r="G116" s="60" t="s">
        <v>341</v>
      </c>
    </row>
    <row r="117" spans="1:7" s="6" customFormat="1" ht="12.75" customHeight="1" x14ac:dyDescent="0.2">
      <c r="A117" s="57" t="s">
        <v>230</v>
      </c>
      <c r="B117" s="57">
        <v>1</v>
      </c>
      <c r="C117" s="60" t="s">
        <v>293</v>
      </c>
      <c r="D117" s="58">
        <v>30061090</v>
      </c>
      <c r="E117" s="57" t="s">
        <v>292</v>
      </c>
      <c r="F117" s="59" t="s">
        <v>30</v>
      </c>
      <c r="G117" s="60" t="s">
        <v>341</v>
      </c>
    </row>
    <row r="118" spans="1:7" s="6" customFormat="1" ht="12.75" customHeight="1" x14ac:dyDescent="0.2">
      <c r="A118" s="57" t="s">
        <v>232</v>
      </c>
      <c r="B118" s="57">
        <v>1</v>
      </c>
      <c r="C118" s="60" t="s">
        <v>293</v>
      </c>
      <c r="D118" s="58">
        <v>30061090</v>
      </c>
      <c r="E118" s="57" t="s">
        <v>292</v>
      </c>
      <c r="F118" s="59" t="s">
        <v>30</v>
      </c>
      <c r="G118" s="60" t="s">
        <v>341</v>
      </c>
    </row>
    <row r="119" spans="1:7" ht="12.75" x14ac:dyDescent="0.2">
      <c r="A119" s="47" t="s">
        <v>94</v>
      </c>
      <c r="B119" s="47">
        <v>20</v>
      </c>
      <c r="C119" s="47"/>
      <c r="D119" s="47">
        <v>30051090</v>
      </c>
      <c r="E119" s="47" t="s">
        <v>120</v>
      </c>
      <c r="F119" s="54" t="s">
        <v>30</v>
      </c>
      <c r="G119" s="48" t="s">
        <v>329</v>
      </c>
    </row>
    <row r="120" spans="1:7" ht="12.75" customHeight="1" x14ac:dyDescent="0.2">
      <c r="A120" s="47" t="s">
        <v>95</v>
      </c>
      <c r="B120" s="47">
        <v>3</v>
      </c>
      <c r="C120" s="47"/>
      <c r="D120" s="47">
        <v>48114110</v>
      </c>
      <c r="E120" s="47" t="s">
        <v>120</v>
      </c>
      <c r="F120" s="54" t="s">
        <v>30</v>
      </c>
      <c r="G120" s="47" t="s">
        <v>329</v>
      </c>
    </row>
    <row r="121" spans="1:7" s="46" customFormat="1" x14ac:dyDescent="0.25">
      <c r="A121" s="47" t="s">
        <v>250</v>
      </c>
      <c r="B121" s="47">
        <v>2</v>
      </c>
      <c r="C121" s="47" t="s">
        <v>357</v>
      </c>
      <c r="D121" s="53">
        <v>30049069</v>
      </c>
      <c r="E121" s="47" t="s">
        <v>120</v>
      </c>
      <c r="F121" s="54" t="s">
        <v>30</v>
      </c>
      <c r="G121" s="48" t="s">
        <v>326</v>
      </c>
    </row>
    <row r="122" spans="1:7" s="46" customFormat="1" x14ac:dyDescent="0.25">
      <c r="A122" s="47" t="s">
        <v>96</v>
      </c>
      <c r="B122" s="47">
        <v>10</v>
      </c>
      <c r="C122" s="47"/>
      <c r="D122" s="47">
        <v>30049076</v>
      </c>
      <c r="E122" s="47" t="s">
        <v>120</v>
      </c>
      <c r="F122" s="54" t="s">
        <v>97</v>
      </c>
      <c r="G122" s="48" t="s">
        <v>326</v>
      </c>
    </row>
    <row r="123" spans="1:7" ht="12.75" customHeight="1" x14ac:dyDescent="0.2">
      <c r="A123" s="47" t="s">
        <v>317</v>
      </c>
      <c r="B123" s="47">
        <v>1</v>
      </c>
      <c r="C123" s="47" t="s">
        <v>373</v>
      </c>
      <c r="D123" s="47"/>
      <c r="E123" s="47"/>
      <c r="F123" s="54"/>
      <c r="G123" s="48" t="s">
        <v>330</v>
      </c>
    </row>
    <row r="124" spans="1:7" ht="12.75" customHeight="1" x14ac:dyDescent="0.2">
      <c r="A124" s="47" t="s">
        <v>318</v>
      </c>
      <c r="B124" s="47">
        <v>1</v>
      </c>
      <c r="C124" s="47" t="s">
        <v>373</v>
      </c>
      <c r="D124" s="47"/>
      <c r="E124" s="47"/>
      <c r="F124" s="54"/>
      <c r="G124" s="48" t="s">
        <v>330</v>
      </c>
    </row>
    <row r="125" spans="1:7" ht="12.75" customHeight="1" x14ac:dyDescent="0.2">
      <c r="A125" s="47" t="s">
        <v>319</v>
      </c>
      <c r="B125" s="47">
        <v>1</v>
      </c>
      <c r="C125" s="47" t="s">
        <v>373</v>
      </c>
      <c r="D125" s="47"/>
      <c r="E125" s="47"/>
      <c r="F125" s="54"/>
      <c r="G125" s="48" t="s">
        <v>330</v>
      </c>
    </row>
    <row r="126" spans="1:7" ht="12.75" customHeight="1" x14ac:dyDescent="0.2">
      <c r="A126" s="47" t="s">
        <v>98</v>
      </c>
      <c r="B126" s="47">
        <v>50</v>
      </c>
      <c r="C126" s="47"/>
      <c r="D126" s="47">
        <v>63079090</v>
      </c>
      <c r="E126" s="47" t="s">
        <v>120</v>
      </c>
      <c r="F126" s="54" t="s">
        <v>30</v>
      </c>
      <c r="G126" s="48" t="s">
        <v>329</v>
      </c>
    </row>
    <row r="127" spans="1:7" s="46" customFormat="1" x14ac:dyDescent="0.25">
      <c r="A127" s="47" t="s">
        <v>277</v>
      </c>
      <c r="B127" s="47">
        <v>2</v>
      </c>
      <c r="C127" s="47"/>
      <c r="D127" s="53">
        <v>90183929</v>
      </c>
      <c r="E127" s="47" t="s">
        <v>120</v>
      </c>
      <c r="F127" s="54" t="s">
        <v>30</v>
      </c>
      <c r="G127" s="47" t="s">
        <v>315</v>
      </c>
    </row>
    <row r="128" spans="1:7" ht="12.75" customHeight="1" x14ac:dyDescent="0.2">
      <c r="A128" s="47" t="s">
        <v>239</v>
      </c>
      <c r="B128" s="47">
        <v>8</v>
      </c>
      <c r="C128" s="47" t="s">
        <v>357</v>
      </c>
      <c r="D128" s="53">
        <v>30049099</v>
      </c>
      <c r="E128" s="47" t="s">
        <v>120</v>
      </c>
      <c r="F128" s="54" t="s">
        <v>30</v>
      </c>
      <c r="G128" s="48" t="s">
        <v>326</v>
      </c>
    </row>
    <row r="129" spans="1:7" ht="12.75" customHeight="1" x14ac:dyDescent="0.2">
      <c r="A129" s="47" t="s">
        <v>107</v>
      </c>
      <c r="B129" s="47">
        <v>50</v>
      </c>
      <c r="C129" s="47" t="s">
        <v>373</v>
      </c>
      <c r="D129" s="47">
        <v>30049029</v>
      </c>
      <c r="E129" s="47" t="s">
        <v>120</v>
      </c>
      <c r="F129" s="54" t="s">
        <v>97</v>
      </c>
      <c r="G129" s="48" t="s">
        <v>330</v>
      </c>
    </row>
    <row r="130" spans="1:7" ht="12.75" customHeight="1" x14ac:dyDescent="0.2">
      <c r="A130" s="47" t="s">
        <v>109</v>
      </c>
      <c r="B130" s="47">
        <v>30</v>
      </c>
      <c r="C130" s="47" t="s">
        <v>373</v>
      </c>
      <c r="D130" s="47">
        <v>29163920</v>
      </c>
      <c r="E130" s="47" t="s">
        <v>120</v>
      </c>
      <c r="F130" s="54" t="s">
        <v>97</v>
      </c>
      <c r="G130" s="48" t="s">
        <v>330</v>
      </c>
    </row>
    <row r="131" spans="1:7" ht="12.75" x14ac:dyDescent="0.2">
      <c r="A131" s="47" t="s">
        <v>110</v>
      </c>
      <c r="B131" s="47">
        <v>30</v>
      </c>
      <c r="C131" s="47"/>
      <c r="D131" s="47">
        <v>90189099</v>
      </c>
      <c r="E131" s="47" t="s">
        <v>120</v>
      </c>
      <c r="F131" s="54" t="s">
        <v>30</v>
      </c>
      <c r="G131" s="48" t="s">
        <v>330</v>
      </c>
    </row>
    <row r="132" spans="1:7" ht="12.75" x14ac:dyDescent="0.2">
      <c r="A132" s="47" t="s">
        <v>111</v>
      </c>
      <c r="B132" s="47">
        <v>1</v>
      </c>
      <c r="C132" s="47" t="s">
        <v>373</v>
      </c>
      <c r="D132" s="47">
        <v>90189099</v>
      </c>
      <c r="E132" s="47" t="s">
        <v>120</v>
      </c>
      <c r="F132" s="54" t="s">
        <v>30</v>
      </c>
      <c r="G132" s="48" t="s">
        <v>329</v>
      </c>
    </row>
    <row r="133" spans="1:7" ht="12.75" customHeight="1" x14ac:dyDescent="0.2">
      <c r="A133" s="47" t="s">
        <v>115</v>
      </c>
      <c r="B133" s="48">
        <v>100</v>
      </c>
      <c r="C133" s="51"/>
      <c r="D133" s="48">
        <v>90189029</v>
      </c>
      <c r="E133" s="52" t="s">
        <v>120</v>
      </c>
      <c r="F133" s="51" t="s">
        <v>30</v>
      </c>
      <c r="G133" s="48" t="s">
        <v>329</v>
      </c>
    </row>
    <row r="134" spans="1:7" ht="12.75" x14ac:dyDescent="0.2">
      <c r="A134" s="47" t="s">
        <v>112</v>
      </c>
      <c r="B134" s="48">
        <v>100</v>
      </c>
      <c r="C134" s="51"/>
      <c r="D134" s="48">
        <v>90189029</v>
      </c>
      <c r="E134" s="48" t="s">
        <v>120</v>
      </c>
      <c r="F134" s="48" t="s">
        <v>30</v>
      </c>
      <c r="G134" s="48" t="s">
        <v>329</v>
      </c>
    </row>
    <row r="135" spans="1:7" ht="12.75" x14ac:dyDescent="0.2">
      <c r="A135" s="47" t="s">
        <v>113</v>
      </c>
      <c r="B135" s="48">
        <v>100</v>
      </c>
      <c r="C135" s="48"/>
      <c r="D135" s="48">
        <v>90189029</v>
      </c>
      <c r="E135" s="48" t="s">
        <v>120</v>
      </c>
      <c r="F135" s="48" t="s">
        <v>30</v>
      </c>
      <c r="G135" s="48" t="s">
        <v>329</v>
      </c>
    </row>
    <row r="136" spans="1:7" ht="12.75" customHeight="1" x14ac:dyDescent="0.2">
      <c r="A136" s="47" t="s">
        <v>114</v>
      </c>
      <c r="B136" s="47">
        <v>125</v>
      </c>
      <c r="C136" s="47"/>
      <c r="D136" s="47">
        <v>90189029</v>
      </c>
      <c r="E136" s="47" t="s">
        <v>120</v>
      </c>
      <c r="F136" s="54" t="s">
        <v>30</v>
      </c>
      <c r="G136" s="48" t="s">
        <v>329</v>
      </c>
    </row>
    <row r="137" spans="1:7" ht="12.75" customHeight="1" x14ac:dyDescent="0.2">
      <c r="A137" s="47" t="s">
        <v>116</v>
      </c>
      <c r="B137" s="47">
        <v>25</v>
      </c>
      <c r="C137" s="47"/>
      <c r="D137" s="47">
        <v>96190000</v>
      </c>
      <c r="E137" s="47" t="s">
        <v>311</v>
      </c>
      <c r="F137" s="54" t="s">
        <v>30</v>
      </c>
      <c r="G137" s="48" t="s">
        <v>320</v>
      </c>
    </row>
    <row r="138" spans="1:7" ht="12.75" customHeight="1" x14ac:dyDescent="0.2">
      <c r="A138" s="47" t="s">
        <v>322</v>
      </c>
      <c r="B138" s="47">
        <v>2</v>
      </c>
      <c r="C138" s="47" t="s">
        <v>373</v>
      </c>
      <c r="D138" s="47"/>
      <c r="E138" s="47"/>
      <c r="F138" s="54"/>
      <c r="G138" s="48" t="s">
        <v>342</v>
      </c>
    </row>
    <row r="139" spans="1:7" ht="12.75" customHeight="1" x14ac:dyDescent="0.2">
      <c r="A139" s="47" t="s">
        <v>251</v>
      </c>
      <c r="B139" s="47">
        <v>3</v>
      </c>
      <c r="C139" s="47" t="s">
        <v>357</v>
      </c>
      <c r="D139" s="53">
        <v>30049099</v>
      </c>
      <c r="E139" s="47" t="s">
        <v>120</v>
      </c>
      <c r="F139" s="54" t="s">
        <v>30</v>
      </c>
      <c r="G139" s="48" t="s">
        <v>326</v>
      </c>
    </row>
    <row r="140" spans="1:7" ht="12.75" x14ac:dyDescent="0.2">
      <c r="A140" s="47" t="s">
        <v>323</v>
      </c>
      <c r="B140" s="47">
        <v>3</v>
      </c>
      <c r="C140" s="47" t="s">
        <v>373</v>
      </c>
      <c r="D140" s="53"/>
      <c r="E140" s="47"/>
      <c r="F140" s="54"/>
      <c r="G140" s="48" t="s">
        <v>330</v>
      </c>
    </row>
    <row r="141" spans="1:7" ht="12.75" customHeight="1" x14ac:dyDescent="0.2">
      <c r="A141" s="47" t="s">
        <v>117</v>
      </c>
      <c r="B141" s="47">
        <v>1</v>
      </c>
      <c r="C141" s="47" t="s">
        <v>373</v>
      </c>
      <c r="D141" s="47" t="s">
        <v>118</v>
      </c>
      <c r="E141" s="47" t="s">
        <v>120</v>
      </c>
      <c r="F141" s="54" t="s">
        <v>97</v>
      </c>
      <c r="G141" s="48" t="s">
        <v>330</v>
      </c>
    </row>
    <row r="142" spans="1:7" ht="12.75" customHeight="1" x14ac:dyDescent="0.2">
      <c r="A142" s="47" t="s">
        <v>121</v>
      </c>
      <c r="B142" s="47">
        <v>1</v>
      </c>
      <c r="C142" s="47" t="s">
        <v>373</v>
      </c>
      <c r="D142" s="47" t="s">
        <v>118</v>
      </c>
      <c r="E142" s="47" t="s">
        <v>120</v>
      </c>
      <c r="F142" s="54" t="s">
        <v>97</v>
      </c>
      <c r="G142" s="48" t="s">
        <v>330</v>
      </c>
    </row>
    <row r="143" spans="1:7" ht="12.75" x14ac:dyDescent="0.2">
      <c r="A143" s="47" t="s">
        <v>131</v>
      </c>
      <c r="B143" s="47">
        <v>100</v>
      </c>
      <c r="C143" s="47"/>
      <c r="D143" s="47">
        <v>40151100</v>
      </c>
      <c r="E143" s="47" t="s">
        <v>120</v>
      </c>
      <c r="F143" s="54" t="s">
        <v>30</v>
      </c>
      <c r="G143" s="48" t="s">
        <v>329</v>
      </c>
    </row>
    <row r="144" spans="1:7" ht="12.75" x14ac:dyDescent="0.2">
      <c r="A144" s="47" t="s">
        <v>122</v>
      </c>
      <c r="B144" s="48">
        <v>100</v>
      </c>
      <c r="C144" s="51"/>
      <c r="D144" s="48">
        <v>40151100</v>
      </c>
      <c r="E144" s="52" t="s">
        <v>120</v>
      </c>
      <c r="F144" s="51" t="s">
        <v>30</v>
      </c>
      <c r="G144" s="48" t="s">
        <v>329</v>
      </c>
    </row>
    <row r="145" spans="1:7" ht="12.75" x14ac:dyDescent="0.2">
      <c r="A145" s="47" t="s">
        <v>127</v>
      </c>
      <c r="B145" s="47">
        <v>20</v>
      </c>
      <c r="C145" s="47"/>
      <c r="D145" s="47">
        <v>40151100</v>
      </c>
      <c r="E145" s="47" t="s">
        <v>120</v>
      </c>
      <c r="F145" s="54" t="s">
        <v>30</v>
      </c>
      <c r="G145" s="48" t="s">
        <v>329</v>
      </c>
    </row>
    <row r="146" spans="1:7" ht="12.75" customHeight="1" x14ac:dyDescent="0.2">
      <c r="A146" s="47" t="s">
        <v>128</v>
      </c>
      <c r="B146" s="47">
        <v>100</v>
      </c>
      <c r="C146" s="47"/>
      <c r="D146" s="47">
        <v>40151100</v>
      </c>
      <c r="E146" s="47" t="s">
        <v>120</v>
      </c>
      <c r="F146" s="54" t="s">
        <v>30</v>
      </c>
      <c r="G146" s="48" t="s">
        <v>329</v>
      </c>
    </row>
    <row r="147" spans="1:7" s="46" customFormat="1" x14ac:dyDescent="0.25">
      <c r="A147" s="47" t="s">
        <v>130</v>
      </c>
      <c r="B147" s="47">
        <v>50</v>
      </c>
      <c r="C147" s="47"/>
      <c r="D147" s="47">
        <v>40151100</v>
      </c>
      <c r="E147" s="47" t="s">
        <v>120</v>
      </c>
      <c r="F147" s="54" t="s">
        <v>30</v>
      </c>
      <c r="G147" s="48" t="s">
        <v>329</v>
      </c>
    </row>
    <row r="148" spans="1:7" s="46" customFormat="1" x14ac:dyDescent="0.25">
      <c r="A148" s="47" t="s">
        <v>132</v>
      </c>
      <c r="B148" s="48">
        <v>50</v>
      </c>
      <c r="C148" s="48"/>
      <c r="D148" s="48">
        <v>40151100</v>
      </c>
      <c r="E148" s="48" t="s">
        <v>120</v>
      </c>
      <c r="F148" s="48" t="s">
        <v>30</v>
      </c>
      <c r="G148" s="48" t="s">
        <v>329</v>
      </c>
    </row>
    <row r="149" spans="1:7" ht="12.75" x14ac:dyDescent="0.2">
      <c r="A149" s="47" t="s">
        <v>134</v>
      </c>
      <c r="B149" s="47">
        <v>100</v>
      </c>
      <c r="C149" s="47"/>
      <c r="D149" s="47">
        <v>40151100</v>
      </c>
      <c r="E149" s="47" t="s">
        <v>120</v>
      </c>
      <c r="F149" s="54" t="s">
        <v>30</v>
      </c>
      <c r="G149" s="48" t="s">
        <v>329</v>
      </c>
    </row>
    <row r="150" spans="1:7" s="46" customFormat="1" x14ac:dyDescent="0.25">
      <c r="A150" s="47" t="s">
        <v>123</v>
      </c>
      <c r="B150" s="47">
        <v>50</v>
      </c>
      <c r="C150" s="47"/>
      <c r="D150" s="47">
        <v>40151900</v>
      </c>
      <c r="E150" s="47" t="s">
        <v>120</v>
      </c>
      <c r="F150" s="54" t="s">
        <v>30</v>
      </c>
      <c r="G150" s="47" t="s">
        <v>329</v>
      </c>
    </row>
    <row r="151" spans="1:7" ht="12.75" x14ac:dyDescent="0.2">
      <c r="A151" s="47" t="s">
        <v>124</v>
      </c>
      <c r="B151" s="47">
        <v>50</v>
      </c>
      <c r="C151" s="47"/>
      <c r="D151" s="47">
        <v>40151900</v>
      </c>
      <c r="E151" s="47" t="s">
        <v>120</v>
      </c>
      <c r="F151" s="54" t="s">
        <v>30</v>
      </c>
      <c r="G151" s="48" t="s">
        <v>329</v>
      </c>
    </row>
    <row r="152" spans="1:7" ht="12.75" x14ac:dyDescent="0.2">
      <c r="A152" s="47" t="s">
        <v>126</v>
      </c>
      <c r="B152" s="47">
        <v>50</v>
      </c>
      <c r="C152" s="47"/>
      <c r="D152" s="47">
        <v>40151100</v>
      </c>
      <c r="E152" s="47" t="s">
        <v>120</v>
      </c>
      <c r="F152" s="54" t="s">
        <v>30</v>
      </c>
      <c r="G152" s="47" t="s">
        <v>329</v>
      </c>
    </row>
    <row r="153" spans="1:7" s="46" customFormat="1" x14ac:dyDescent="0.25">
      <c r="A153" s="47" t="s">
        <v>133</v>
      </c>
      <c r="B153" s="47">
        <v>50</v>
      </c>
      <c r="C153" s="47"/>
      <c r="D153" s="47">
        <v>40151100</v>
      </c>
      <c r="E153" s="47" t="s">
        <v>120</v>
      </c>
      <c r="F153" s="54" t="s">
        <v>30</v>
      </c>
      <c r="G153" s="47" t="s">
        <v>329</v>
      </c>
    </row>
    <row r="154" spans="1:7" s="46" customFormat="1" x14ac:dyDescent="0.25">
      <c r="A154" s="47" t="s">
        <v>138</v>
      </c>
      <c r="B154" s="48">
        <v>10</v>
      </c>
      <c r="C154" s="48" t="s">
        <v>373</v>
      </c>
      <c r="D154" s="48">
        <v>40151900</v>
      </c>
      <c r="E154" s="48" t="s">
        <v>120</v>
      </c>
      <c r="F154" s="48" t="s">
        <v>30</v>
      </c>
      <c r="G154" s="48" t="s">
        <v>329</v>
      </c>
    </row>
    <row r="155" spans="1:7" s="46" customFormat="1" x14ac:dyDescent="0.25">
      <c r="A155" s="47" t="s">
        <v>139</v>
      </c>
      <c r="B155" s="47">
        <v>10</v>
      </c>
      <c r="C155" s="47" t="s">
        <v>373</v>
      </c>
      <c r="D155" s="47">
        <v>39262000</v>
      </c>
      <c r="E155" s="47" t="s">
        <v>120</v>
      </c>
      <c r="F155" s="54" t="s">
        <v>30</v>
      </c>
      <c r="G155" s="48" t="s">
        <v>329</v>
      </c>
    </row>
    <row r="156" spans="1:7" s="46" customFormat="1" x14ac:dyDescent="0.25">
      <c r="A156" s="47" t="s">
        <v>140</v>
      </c>
      <c r="B156" s="47">
        <v>25</v>
      </c>
      <c r="C156" s="47"/>
      <c r="D156" s="47">
        <v>90183929</v>
      </c>
      <c r="E156" s="47" t="s">
        <v>120</v>
      </c>
      <c r="F156" s="54" t="s">
        <v>30</v>
      </c>
      <c r="G156" s="48" t="s">
        <v>315</v>
      </c>
    </row>
    <row r="157" spans="1:7" s="46" customFormat="1" x14ac:dyDescent="0.25">
      <c r="A157" s="47" t="s">
        <v>141</v>
      </c>
      <c r="B157" s="47">
        <v>20</v>
      </c>
      <c r="C157" s="47"/>
      <c r="D157" s="47">
        <v>90183929</v>
      </c>
      <c r="E157" s="47" t="s">
        <v>120</v>
      </c>
      <c r="F157" s="54" t="s">
        <v>30</v>
      </c>
      <c r="G157" s="48" t="s">
        <v>315</v>
      </c>
    </row>
    <row r="158" spans="1:7" s="46" customFormat="1" x14ac:dyDescent="0.25">
      <c r="A158" s="47" t="s">
        <v>263</v>
      </c>
      <c r="B158" s="47">
        <v>30</v>
      </c>
      <c r="C158" s="47"/>
      <c r="D158" s="47">
        <v>90183929</v>
      </c>
      <c r="E158" s="47" t="s">
        <v>120</v>
      </c>
      <c r="F158" s="54" t="s">
        <v>30</v>
      </c>
      <c r="G158" s="48" t="s">
        <v>315</v>
      </c>
    </row>
    <row r="159" spans="1:7" s="46" customFormat="1" x14ac:dyDescent="0.25">
      <c r="A159" s="47" t="s">
        <v>365</v>
      </c>
      <c r="B159" s="47">
        <v>10</v>
      </c>
      <c r="C159" s="47"/>
      <c r="D159" s="47">
        <v>90192020</v>
      </c>
      <c r="E159" s="47" t="s">
        <v>120</v>
      </c>
      <c r="F159" s="54" t="s">
        <v>30</v>
      </c>
      <c r="G159" s="48" t="s">
        <v>315</v>
      </c>
    </row>
    <row r="160" spans="1:7" s="46" customFormat="1" x14ac:dyDescent="0.25">
      <c r="A160" s="47" t="s">
        <v>366</v>
      </c>
      <c r="B160" s="47">
        <v>10</v>
      </c>
      <c r="C160" s="47"/>
      <c r="D160" s="47">
        <v>90192020</v>
      </c>
      <c r="E160" s="47" t="s">
        <v>120</v>
      </c>
      <c r="F160" s="54" t="s">
        <v>30</v>
      </c>
      <c r="G160" s="48" t="s">
        <v>315</v>
      </c>
    </row>
    <row r="161" spans="1:7" s="46" customFormat="1" x14ac:dyDescent="0.25">
      <c r="A161" s="47" t="s">
        <v>348</v>
      </c>
      <c r="B161" s="47">
        <v>5</v>
      </c>
      <c r="C161" s="47"/>
      <c r="D161" s="47">
        <v>90192020</v>
      </c>
      <c r="E161" s="47" t="s">
        <v>120</v>
      </c>
      <c r="F161" s="54" t="s">
        <v>30</v>
      </c>
      <c r="G161" s="48" t="s">
        <v>330</v>
      </c>
    </row>
    <row r="162" spans="1:7" s="46" customFormat="1" x14ac:dyDescent="0.25">
      <c r="A162" s="47" t="s">
        <v>150</v>
      </c>
      <c r="B162" s="47">
        <v>5</v>
      </c>
      <c r="C162" s="47"/>
      <c r="D162" s="47">
        <v>90192020</v>
      </c>
      <c r="E162" s="47" t="s">
        <v>120</v>
      </c>
      <c r="F162" s="54" t="s">
        <v>30</v>
      </c>
      <c r="G162" s="48" t="s">
        <v>315</v>
      </c>
    </row>
    <row r="163" spans="1:7" s="46" customFormat="1" x14ac:dyDescent="0.25">
      <c r="A163" s="47" t="s">
        <v>149</v>
      </c>
      <c r="B163" s="47">
        <v>5</v>
      </c>
      <c r="C163" s="47"/>
      <c r="D163" s="47">
        <v>90192020</v>
      </c>
      <c r="E163" s="47" t="s">
        <v>120</v>
      </c>
      <c r="F163" s="54" t="s">
        <v>30</v>
      </c>
      <c r="G163" s="48" t="s">
        <v>315</v>
      </c>
    </row>
    <row r="164" spans="1:7" s="46" customFormat="1" x14ac:dyDescent="0.25">
      <c r="A164" s="47" t="s">
        <v>151</v>
      </c>
      <c r="B164" s="47">
        <v>30</v>
      </c>
      <c r="C164" s="47" t="s">
        <v>357</v>
      </c>
      <c r="D164" s="47">
        <v>30049045</v>
      </c>
      <c r="E164" s="47" t="s">
        <v>120</v>
      </c>
      <c r="F164" s="54" t="s">
        <v>97</v>
      </c>
      <c r="G164" s="47" t="s">
        <v>326</v>
      </c>
    </row>
    <row r="165" spans="1:7" s="46" customFormat="1" x14ac:dyDescent="0.25">
      <c r="A165" s="47" t="s">
        <v>153</v>
      </c>
      <c r="B165" s="47">
        <v>5</v>
      </c>
      <c r="C165" s="47"/>
      <c r="D165" s="47">
        <v>90192020</v>
      </c>
      <c r="E165" s="47" t="s">
        <v>120</v>
      </c>
      <c r="F165" s="54" t="s">
        <v>30</v>
      </c>
      <c r="G165" s="48" t="s">
        <v>330</v>
      </c>
    </row>
    <row r="166" spans="1:7" s="46" customFormat="1" x14ac:dyDescent="0.25">
      <c r="A166" s="47" t="s">
        <v>152</v>
      </c>
      <c r="B166" s="47">
        <v>10</v>
      </c>
      <c r="C166" s="47"/>
      <c r="D166" s="47">
        <v>90192020</v>
      </c>
      <c r="E166" s="47" t="s">
        <v>120</v>
      </c>
      <c r="F166" s="54" t="s">
        <v>30</v>
      </c>
      <c r="G166" s="48" t="s">
        <v>330</v>
      </c>
    </row>
    <row r="167" spans="1:7" s="46" customFormat="1" x14ac:dyDescent="0.25">
      <c r="A167" s="47" t="s">
        <v>241</v>
      </c>
      <c r="B167" s="47">
        <v>10</v>
      </c>
      <c r="C167" s="47" t="s">
        <v>357</v>
      </c>
      <c r="D167" s="53">
        <v>30049069</v>
      </c>
      <c r="E167" s="47" t="s">
        <v>120</v>
      </c>
      <c r="F167" s="54" t="s">
        <v>30</v>
      </c>
      <c r="G167" s="48" t="s">
        <v>326</v>
      </c>
    </row>
    <row r="168" spans="1:7" s="46" customFormat="1" x14ac:dyDescent="0.25">
      <c r="A168" s="47" t="s">
        <v>155</v>
      </c>
      <c r="B168" s="47">
        <v>10</v>
      </c>
      <c r="C168" s="47" t="s">
        <v>373</v>
      </c>
      <c r="D168" s="47">
        <v>30042059</v>
      </c>
      <c r="E168" s="47" t="s">
        <v>311</v>
      </c>
      <c r="F168" s="54" t="s">
        <v>97</v>
      </c>
      <c r="G168" s="48" t="s">
        <v>330</v>
      </c>
    </row>
    <row r="169" spans="1:7" s="46" customFormat="1" x14ac:dyDescent="0.25">
      <c r="A169" s="47" t="s">
        <v>424</v>
      </c>
      <c r="B169" s="47">
        <v>80</v>
      </c>
      <c r="C169" s="47"/>
      <c r="D169" s="47"/>
      <c r="E169" s="47"/>
      <c r="F169" s="54"/>
      <c r="G169" s="47"/>
    </row>
    <row r="170" spans="1:7" s="46" customFormat="1" x14ac:dyDescent="0.25">
      <c r="A170" s="47" t="s">
        <v>159</v>
      </c>
      <c r="B170" s="47">
        <v>80</v>
      </c>
      <c r="C170" s="47" t="s">
        <v>361</v>
      </c>
      <c r="D170" s="47" t="s">
        <v>160</v>
      </c>
      <c r="E170" s="47" t="s">
        <v>120</v>
      </c>
      <c r="F170" s="54" t="s">
        <v>30</v>
      </c>
      <c r="G170" s="47" t="s">
        <v>331</v>
      </c>
    </row>
    <row r="171" spans="1:7" s="46" customFormat="1" x14ac:dyDescent="0.25">
      <c r="A171" s="47" t="s">
        <v>162</v>
      </c>
      <c r="B171" s="47">
        <v>10</v>
      </c>
      <c r="C171" s="47" t="s">
        <v>373</v>
      </c>
      <c r="D171" s="47">
        <v>30043210</v>
      </c>
      <c r="E171" s="47" t="s">
        <v>311</v>
      </c>
      <c r="F171" s="54" t="s">
        <v>97</v>
      </c>
      <c r="G171" s="48" t="s">
        <v>330</v>
      </c>
    </row>
    <row r="172" spans="1:7" s="46" customFormat="1" x14ac:dyDescent="0.25">
      <c r="A172" s="47" t="s">
        <v>163</v>
      </c>
      <c r="B172" s="47">
        <v>5</v>
      </c>
      <c r="C172" s="47" t="s">
        <v>373</v>
      </c>
      <c r="D172" s="47" t="s">
        <v>101</v>
      </c>
      <c r="E172" s="47" t="s">
        <v>292</v>
      </c>
      <c r="F172" s="54" t="s">
        <v>97</v>
      </c>
      <c r="G172" s="48" t="s">
        <v>330</v>
      </c>
    </row>
    <row r="173" spans="1:7" s="46" customFormat="1" x14ac:dyDescent="0.25">
      <c r="A173" s="47" t="s">
        <v>307</v>
      </c>
      <c r="B173" s="47">
        <v>50</v>
      </c>
      <c r="C173" s="47" t="s">
        <v>357</v>
      </c>
      <c r="D173" s="47"/>
      <c r="E173" s="47" t="s">
        <v>120</v>
      </c>
      <c r="F173" s="54" t="s">
        <v>97</v>
      </c>
      <c r="G173" s="47" t="s">
        <v>326</v>
      </c>
    </row>
    <row r="174" spans="1:7" ht="12.75" customHeight="1" x14ac:dyDescent="0.2">
      <c r="A174" s="47" t="s">
        <v>168</v>
      </c>
      <c r="B174" s="47">
        <v>20</v>
      </c>
      <c r="C174" s="47" t="s">
        <v>369</v>
      </c>
      <c r="D174" s="47">
        <v>39232110</v>
      </c>
      <c r="E174" s="47" t="s">
        <v>120</v>
      </c>
      <c r="F174" s="54" t="s">
        <v>30</v>
      </c>
      <c r="G174" s="48" t="s">
        <v>329</v>
      </c>
    </row>
    <row r="175" spans="1:7" ht="12.75" customHeight="1" x14ac:dyDescent="0.2">
      <c r="A175" s="47" t="s">
        <v>169</v>
      </c>
      <c r="B175" s="47">
        <v>10</v>
      </c>
      <c r="C175" s="47" t="s">
        <v>373</v>
      </c>
      <c r="D175" s="53" t="s">
        <v>170</v>
      </c>
      <c r="E175" s="47" t="s">
        <v>311</v>
      </c>
      <c r="F175" s="54" t="s">
        <v>30</v>
      </c>
      <c r="G175" s="48" t="s">
        <v>346</v>
      </c>
    </row>
    <row r="176" spans="1:7" ht="12.75" x14ac:dyDescent="0.2">
      <c r="A176" s="47" t="s">
        <v>435</v>
      </c>
      <c r="B176" s="47">
        <v>300</v>
      </c>
      <c r="C176" s="47"/>
      <c r="D176" s="53" t="s">
        <v>173</v>
      </c>
      <c r="E176" s="47" t="s">
        <v>120</v>
      </c>
      <c r="F176" s="54" t="s">
        <v>30</v>
      </c>
      <c r="G176" s="48" t="s">
        <v>329</v>
      </c>
    </row>
    <row r="177" spans="1:7" ht="12.75" x14ac:dyDescent="0.2">
      <c r="A177" s="47" t="s">
        <v>316</v>
      </c>
      <c r="B177" s="53"/>
      <c r="C177" s="47"/>
      <c r="D177" s="53"/>
      <c r="E177" s="47"/>
      <c r="F177" s="54"/>
      <c r="G177" s="48"/>
    </row>
    <row r="178" spans="1:7" s="46" customFormat="1" x14ac:dyDescent="0.25">
      <c r="A178" s="47" t="s">
        <v>316</v>
      </c>
      <c r="B178" s="47">
        <v>30</v>
      </c>
      <c r="C178" s="47" t="s">
        <v>357</v>
      </c>
      <c r="D178" s="53"/>
      <c r="E178" s="47"/>
      <c r="F178" s="54" t="s">
        <v>97</v>
      </c>
      <c r="G178" s="48" t="s">
        <v>326</v>
      </c>
    </row>
    <row r="179" spans="1:7" s="46" customFormat="1" x14ac:dyDescent="0.25">
      <c r="A179" s="47" t="s">
        <v>441</v>
      </c>
      <c r="B179" s="47">
        <v>12</v>
      </c>
      <c r="C179" s="47"/>
      <c r="D179" s="47">
        <v>30039099</v>
      </c>
      <c r="E179" s="47" t="s">
        <v>120</v>
      </c>
      <c r="F179" s="55" t="s">
        <v>30</v>
      </c>
      <c r="G179" s="48" t="s">
        <v>329</v>
      </c>
    </row>
    <row r="180" spans="1:7" ht="12.75" customHeight="1" x14ac:dyDescent="0.2">
      <c r="A180" s="47" t="s">
        <v>181</v>
      </c>
      <c r="B180" s="47">
        <v>50</v>
      </c>
      <c r="C180" s="47"/>
      <c r="D180" s="53">
        <v>90183929</v>
      </c>
      <c r="E180" s="47" t="s">
        <v>120</v>
      </c>
      <c r="F180" s="54" t="s">
        <v>30</v>
      </c>
      <c r="G180" s="48" t="s">
        <v>315</v>
      </c>
    </row>
    <row r="181" spans="1:7" ht="12.75" customHeight="1" x14ac:dyDescent="0.2">
      <c r="A181" s="47" t="s">
        <v>182</v>
      </c>
      <c r="B181" s="47">
        <v>50</v>
      </c>
      <c r="C181" s="47"/>
      <c r="D181" s="53">
        <v>90183929</v>
      </c>
      <c r="E181" s="47" t="s">
        <v>120</v>
      </c>
      <c r="F181" s="54" t="s">
        <v>30</v>
      </c>
      <c r="G181" s="48" t="s">
        <v>315</v>
      </c>
    </row>
    <row r="182" spans="1:7" ht="12.75" customHeight="1" x14ac:dyDescent="0.2">
      <c r="A182" s="47" t="s">
        <v>183</v>
      </c>
      <c r="B182" s="47">
        <v>50</v>
      </c>
      <c r="C182" s="47"/>
      <c r="D182" s="53">
        <v>90183929</v>
      </c>
      <c r="E182" s="47" t="s">
        <v>120</v>
      </c>
      <c r="F182" s="54" t="s">
        <v>30</v>
      </c>
      <c r="G182" s="48" t="s">
        <v>315</v>
      </c>
    </row>
    <row r="183" spans="1:7" ht="12.75" x14ac:dyDescent="0.2">
      <c r="A183" s="47" t="s">
        <v>186</v>
      </c>
      <c r="B183" s="47">
        <v>8</v>
      </c>
      <c r="C183" s="47"/>
      <c r="D183" s="53" t="s">
        <v>101</v>
      </c>
      <c r="E183" s="47" t="s">
        <v>120</v>
      </c>
      <c r="F183" s="54" t="s">
        <v>97</v>
      </c>
      <c r="G183" s="48" t="s">
        <v>326</v>
      </c>
    </row>
    <row r="184" spans="1:7" ht="12.75" x14ac:dyDescent="0.2">
      <c r="A184" s="47" t="s">
        <v>363</v>
      </c>
      <c r="B184" s="47">
        <v>4</v>
      </c>
      <c r="C184" s="47"/>
      <c r="D184" s="53"/>
      <c r="E184" s="47" t="s">
        <v>120</v>
      </c>
      <c r="F184" s="54" t="s">
        <v>97</v>
      </c>
      <c r="G184" s="48" t="s">
        <v>326</v>
      </c>
    </row>
    <row r="185" spans="1:7" ht="12.75" customHeight="1" x14ac:dyDescent="0.2">
      <c r="A185" s="47" t="s">
        <v>187</v>
      </c>
      <c r="B185" s="47">
        <v>40</v>
      </c>
      <c r="C185" s="47"/>
      <c r="D185" s="53">
        <v>30049099</v>
      </c>
      <c r="E185" s="47" t="s">
        <v>120</v>
      </c>
      <c r="F185" s="54" t="s">
        <v>97</v>
      </c>
      <c r="G185" s="48" t="s">
        <v>326</v>
      </c>
    </row>
    <row r="186" spans="1:7" ht="12.75" customHeight="1" x14ac:dyDescent="0.2">
      <c r="A186" s="47" t="s">
        <v>189</v>
      </c>
      <c r="B186" s="47">
        <v>30</v>
      </c>
      <c r="C186" s="47" t="s">
        <v>360</v>
      </c>
      <c r="D186" s="53">
        <v>30042099</v>
      </c>
      <c r="E186" s="47" t="s">
        <v>120</v>
      </c>
      <c r="F186" s="54" t="s">
        <v>97</v>
      </c>
      <c r="G186" s="48" t="s">
        <v>326</v>
      </c>
    </row>
    <row r="187" spans="1:7" ht="12.75" customHeight="1" x14ac:dyDescent="0.2">
      <c r="A187" s="47" t="s">
        <v>190</v>
      </c>
      <c r="B187" s="47">
        <v>5</v>
      </c>
      <c r="C187" s="47" t="s">
        <v>373</v>
      </c>
      <c r="D187" s="53">
        <v>30049039</v>
      </c>
      <c r="E187" s="47" t="s">
        <v>120</v>
      </c>
      <c r="F187" s="54" t="s">
        <v>97</v>
      </c>
      <c r="G187" s="48" t="s">
        <v>330</v>
      </c>
    </row>
    <row r="188" spans="1:7" s="6" customFormat="1" ht="12.75" customHeight="1" x14ac:dyDescent="0.2">
      <c r="A188" s="57" t="s">
        <v>233</v>
      </c>
      <c r="B188" s="57">
        <v>2</v>
      </c>
      <c r="C188" s="57" t="s">
        <v>293</v>
      </c>
      <c r="D188" s="58">
        <v>30061090</v>
      </c>
      <c r="E188" s="57" t="s">
        <v>292</v>
      </c>
      <c r="F188" s="59" t="s">
        <v>30</v>
      </c>
      <c r="G188" s="60" t="s">
        <v>341</v>
      </c>
    </row>
    <row r="189" spans="1:7" ht="12.75" x14ac:dyDescent="0.2">
      <c r="A189" s="47" t="s">
        <v>193</v>
      </c>
      <c r="B189" s="47">
        <v>70</v>
      </c>
      <c r="C189" s="47"/>
      <c r="D189" s="53">
        <v>30059090</v>
      </c>
      <c r="E189" s="47" t="s">
        <v>120</v>
      </c>
      <c r="F189" s="54" t="s">
        <v>30</v>
      </c>
      <c r="G189" s="48" t="s">
        <v>329</v>
      </c>
    </row>
    <row r="190" spans="1:7" ht="12.75" customHeight="1" x14ac:dyDescent="0.2">
      <c r="A190" s="47" t="s">
        <v>195</v>
      </c>
      <c r="B190" s="47">
        <v>12</v>
      </c>
      <c r="C190" s="47"/>
      <c r="D190" s="53">
        <v>30051090</v>
      </c>
      <c r="E190" s="47" t="s">
        <v>120</v>
      </c>
      <c r="F190" s="54" t="s">
        <v>30</v>
      </c>
      <c r="G190" s="48" t="s">
        <v>329</v>
      </c>
    </row>
    <row r="191" spans="1:7" ht="12.75" x14ac:dyDescent="0.2">
      <c r="A191" s="47" t="s">
        <v>196</v>
      </c>
      <c r="B191" s="47">
        <v>15</v>
      </c>
      <c r="C191" s="47"/>
      <c r="D191" s="53">
        <v>39174090</v>
      </c>
      <c r="E191" s="47" t="s">
        <v>120</v>
      </c>
      <c r="F191" s="54" t="s">
        <v>30</v>
      </c>
      <c r="G191" s="48" t="s">
        <v>315</v>
      </c>
    </row>
    <row r="192" spans="1:7" s="46" customFormat="1" x14ac:dyDescent="0.25">
      <c r="A192" s="47" t="s">
        <v>197</v>
      </c>
      <c r="B192" s="47">
        <v>5</v>
      </c>
      <c r="C192" s="47"/>
      <c r="D192" s="53">
        <v>39173229</v>
      </c>
      <c r="E192" s="47" t="s">
        <v>120</v>
      </c>
      <c r="F192" s="54" t="s">
        <v>30</v>
      </c>
      <c r="G192" s="48" t="s">
        <v>330</v>
      </c>
    </row>
    <row r="193" spans="1:7" s="46" customFormat="1" x14ac:dyDescent="0.25">
      <c r="A193" s="47" t="s">
        <v>198</v>
      </c>
      <c r="B193" s="47">
        <v>10</v>
      </c>
      <c r="C193" s="47"/>
      <c r="D193" s="53">
        <v>90183929</v>
      </c>
      <c r="E193" s="47" t="s">
        <v>120</v>
      </c>
      <c r="F193" s="54" t="s">
        <v>30</v>
      </c>
      <c r="G193" s="48" t="s">
        <v>344</v>
      </c>
    </row>
    <row r="194" spans="1:7" s="46" customFormat="1" x14ac:dyDescent="0.25">
      <c r="A194" s="47" t="s">
        <v>202</v>
      </c>
      <c r="B194" s="47">
        <v>10</v>
      </c>
      <c r="C194" s="47"/>
      <c r="D194" s="53">
        <v>90183929</v>
      </c>
      <c r="E194" s="47" t="s">
        <v>120</v>
      </c>
      <c r="F194" s="54" t="s">
        <v>30</v>
      </c>
      <c r="G194" s="48" t="s">
        <v>344</v>
      </c>
    </row>
    <row r="195" spans="1:7" s="46" customFormat="1" x14ac:dyDescent="0.25">
      <c r="A195" s="47" t="s">
        <v>432</v>
      </c>
      <c r="B195" s="53">
        <v>10</v>
      </c>
      <c r="C195" s="47"/>
      <c r="D195" s="53"/>
      <c r="E195" s="47"/>
      <c r="F195" s="54"/>
      <c r="G195" s="48"/>
    </row>
    <row r="196" spans="1:7" ht="12.75" customHeight="1" x14ac:dyDescent="0.2">
      <c r="A196" s="47" t="s">
        <v>199</v>
      </c>
      <c r="B196" s="47">
        <v>10</v>
      </c>
      <c r="C196" s="47"/>
      <c r="D196" s="53">
        <v>90183929</v>
      </c>
      <c r="E196" s="47" t="s">
        <v>120</v>
      </c>
      <c r="F196" s="54" t="s">
        <v>30</v>
      </c>
      <c r="G196" s="48" t="s">
        <v>344</v>
      </c>
    </row>
    <row r="197" spans="1:7" ht="12.75" x14ac:dyDescent="0.2">
      <c r="A197" s="47" t="s">
        <v>213</v>
      </c>
      <c r="B197" s="47">
        <v>10</v>
      </c>
      <c r="C197" s="47"/>
      <c r="D197" s="53">
        <v>90183929</v>
      </c>
      <c r="E197" s="47" t="s">
        <v>120</v>
      </c>
      <c r="F197" s="54" t="s">
        <v>30</v>
      </c>
      <c r="G197" s="48" t="s">
        <v>344</v>
      </c>
    </row>
    <row r="198" spans="1:7" ht="12.75" x14ac:dyDescent="0.2">
      <c r="A198" s="47" t="s">
        <v>200</v>
      </c>
      <c r="B198" s="47">
        <v>10</v>
      </c>
      <c r="C198" s="47"/>
      <c r="D198" s="53">
        <v>90183929</v>
      </c>
      <c r="E198" s="47" t="s">
        <v>120</v>
      </c>
      <c r="F198" s="54" t="s">
        <v>30</v>
      </c>
      <c r="G198" s="48" t="s">
        <v>344</v>
      </c>
    </row>
    <row r="199" spans="1:7" ht="12.75" x14ac:dyDescent="0.2">
      <c r="A199" s="47" t="s">
        <v>201</v>
      </c>
      <c r="B199" s="53">
        <v>10</v>
      </c>
      <c r="C199" s="47"/>
      <c r="D199" s="53"/>
      <c r="E199" s="47"/>
      <c r="F199" s="54"/>
      <c r="G199" s="48"/>
    </row>
    <row r="200" spans="1:7" ht="15" customHeight="1" x14ac:dyDescent="0.2">
      <c r="A200" s="47" t="s">
        <v>214</v>
      </c>
      <c r="B200" s="47">
        <v>10</v>
      </c>
      <c r="C200" s="47"/>
      <c r="D200" s="53">
        <v>90183929</v>
      </c>
      <c r="E200" s="47" t="s">
        <v>120</v>
      </c>
      <c r="F200" s="54" t="s">
        <v>30</v>
      </c>
      <c r="G200" s="48" t="s">
        <v>344</v>
      </c>
    </row>
    <row r="201" spans="1:7" ht="15" customHeight="1" x14ac:dyDescent="0.2">
      <c r="A201" s="47" t="s">
        <v>433</v>
      </c>
      <c r="B201" s="53">
        <v>10</v>
      </c>
      <c r="C201" s="47"/>
      <c r="D201" s="53"/>
      <c r="E201" s="47"/>
      <c r="F201" s="54"/>
      <c r="G201" s="48"/>
    </row>
    <row r="202" spans="1:7" s="46" customFormat="1" x14ac:dyDescent="0.25">
      <c r="A202" s="47" t="s">
        <v>305</v>
      </c>
      <c r="B202" s="47">
        <v>20</v>
      </c>
      <c r="C202" s="47"/>
      <c r="D202" s="53"/>
      <c r="E202" s="47"/>
      <c r="F202" s="54"/>
      <c r="G202" s="48" t="s">
        <v>344</v>
      </c>
    </row>
    <row r="203" spans="1:7" s="46" customFormat="1" x14ac:dyDescent="0.25">
      <c r="A203" s="47" t="s">
        <v>204</v>
      </c>
      <c r="B203" s="47">
        <v>30</v>
      </c>
      <c r="C203" s="47"/>
      <c r="D203" s="53">
        <v>90183929</v>
      </c>
      <c r="E203" s="47" t="s">
        <v>120</v>
      </c>
      <c r="F203" s="54" t="s">
        <v>30</v>
      </c>
      <c r="G203" s="48" t="s">
        <v>344</v>
      </c>
    </row>
    <row r="204" spans="1:7" s="46" customFormat="1" x14ac:dyDescent="0.25">
      <c r="A204" s="47" t="s">
        <v>205</v>
      </c>
      <c r="B204" s="47">
        <v>30</v>
      </c>
      <c r="C204" s="47"/>
      <c r="D204" s="53">
        <v>90183929</v>
      </c>
      <c r="E204" s="47" t="s">
        <v>120</v>
      </c>
      <c r="F204" s="54" t="s">
        <v>30</v>
      </c>
      <c r="G204" s="48" t="s">
        <v>344</v>
      </c>
    </row>
    <row r="205" spans="1:7" s="46" customFormat="1" x14ac:dyDescent="0.25">
      <c r="A205" s="47" t="s">
        <v>206</v>
      </c>
      <c r="B205" s="47">
        <v>30</v>
      </c>
      <c r="C205" s="47"/>
      <c r="D205" s="53">
        <v>90183929</v>
      </c>
      <c r="E205" s="47" t="s">
        <v>120</v>
      </c>
      <c r="F205" s="54" t="s">
        <v>30</v>
      </c>
      <c r="G205" s="48" t="s">
        <v>344</v>
      </c>
    </row>
    <row r="206" spans="1:7" ht="12.75" customHeight="1" x14ac:dyDescent="0.2">
      <c r="A206" s="47" t="s">
        <v>207</v>
      </c>
      <c r="B206" s="47">
        <v>20</v>
      </c>
      <c r="C206" s="47"/>
      <c r="D206" s="53">
        <v>90183929</v>
      </c>
      <c r="E206" s="47" t="s">
        <v>120</v>
      </c>
      <c r="F206" s="54" t="s">
        <v>30</v>
      </c>
      <c r="G206" s="48" t="s">
        <v>344</v>
      </c>
    </row>
    <row r="207" spans="1:7" ht="12.75" customHeight="1" x14ac:dyDescent="0.2">
      <c r="A207" s="47" t="s">
        <v>208</v>
      </c>
      <c r="B207" s="47">
        <v>20</v>
      </c>
      <c r="C207" s="47"/>
      <c r="D207" s="53">
        <v>90183929</v>
      </c>
      <c r="E207" s="47" t="s">
        <v>120</v>
      </c>
      <c r="F207" s="54" t="s">
        <v>30</v>
      </c>
      <c r="G207" s="48" t="s">
        <v>344</v>
      </c>
    </row>
    <row r="208" spans="1:7" ht="12.75" x14ac:dyDescent="0.2">
      <c r="A208" s="47" t="s">
        <v>209</v>
      </c>
      <c r="B208" s="47">
        <v>20</v>
      </c>
      <c r="C208" s="47"/>
      <c r="D208" s="53">
        <v>90183929</v>
      </c>
      <c r="E208" s="47" t="s">
        <v>120</v>
      </c>
      <c r="F208" s="54" t="s">
        <v>30</v>
      </c>
      <c r="G208" s="51" t="s">
        <v>344</v>
      </c>
    </row>
    <row r="209" spans="1:7" ht="12.75" x14ac:dyDescent="0.2">
      <c r="A209" s="47" t="s">
        <v>210</v>
      </c>
      <c r="B209" s="47">
        <v>20</v>
      </c>
      <c r="C209" s="47"/>
      <c r="D209" s="53">
        <v>90183929</v>
      </c>
      <c r="E209" s="47" t="s">
        <v>120</v>
      </c>
      <c r="F209" s="54" t="s">
        <v>30</v>
      </c>
      <c r="G209" s="48" t="s">
        <v>344</v>
      </c>
    </row>
    <row r="210" spans="1:7" ht="12.75" x14ac:dyDescent="0.2">
      <c r="A210" s="47" t="s">
        <v>215</v>
      </c>
      <c r="B210" s="47">
        <v>70</v>
      </c>
      <c r="C210" s="53"/>
      <c r="D210" s="53">
        <v>90189010</v>
      </c>
      <c r="E210" s="47" t="s">
        <v>120</v>
      </c>
      <c r="F210" s="54" t="s">
        <v>30</v>
      </c>
      <c r="G210" s="48" t="s">
        <v>344</v>
      </c>
    </row>
    <row r="211" spans="1:7" s="46" customFormat="1" x14ac:dyDescent="0.25">
      <c r="A211" s="47" t="s">
        <v>349</v>
      </c>
      <c r="B211" s="47">
        <v>2</v>
      </c>
      <c r="C211" s="53"/>
      <c r="D211" s="53">
        <v>90192010</v>
      </c>
      <c r="E211" s="47" t="s">
        <v>120</v>
      </c>
      <c r="F211" s="54" t="s">
        <v>30</v>
      </c>
      <c r="G211" s="48" t="s">
        <v>330</v>
      </c>
    </row>
    <row r="212" spans="1:7" ht="12.75" customHeight="1" x14ac:dyDescent="0.2">
      <c r="A212" s="47" t="s">
        <v>350</v>
      </c>
      <c r="B212" s="47">
        <v>2</v>
      </c>
      <c r="C212" s="53"/>
      <c r="D212" s="53">
        <v>90192010</v>
      </c>
      <c r="E212" s="47" t="s">
        <v>120</v>
      </c>
      <c r="F212" s="54" t="s">
        <v>30</v>
      </c>
      <c r="G212" s="48" t="s">
        <v>330</v>
      </c>
    </row>
    <row r="213" spans="1:7" ht="12.75" x14ac:dyDescent="0.2">
      <c r="A213" s="47" t="s">
        <v>321</v>
      </c>
      <c r="B213" s="53">
        <v>4</v>
      </c>
      <c r="C213" s="53"/>
      <c r="D213" s="53"/>
      <c r="E213" s="47"/>
      <c r="F213" s="54"/>
      <c r="G213" s="48" t="s">
        <v>282</v>
      </c>
    </row>
    <row r="214" spans="1:7" ht="12.75" x14ac:dyDescent="0.2">
      <c r="A214" s="47" t="s">
        <v>217</v>
      </c>
      <c r="B214" s="53">
        <v>20</v>
      </c>
      <c r="C214" s="53"/>
      <c r="D214" s="53">
        <v>29239090</v>
      </c>
      <c r="E214" s="47" t="s">
        <v>120</v>
      </c>
      <c r="F214" s="54" t="s">
        <v>97</v>
      </c>
      <c r="G214" s="48" t="s">
        <v>329</v>
      </c>
    </row>
    <row r="215" spans="1:7" ht="12.75" x14ac:dyDescent="0.2">
      <c r="A215" s="47" t="s">
        <v>218</v>
      </c>
      <c r="B215" s="53">
        <v>50</v>
      </c>
      <c r="C215" s="53"/>
      <c r="D215" s="53">
        <v>56031290</v>
      </c>
      <c r="E215" s="47" t="s">
        <v>120</v>
      </c>
      <c r="F215" s="54" t="s">
        <v>30</v>
      </c>
      <c r="G215" s="48" t="s">
        <v>329</v>
      </c>
    </row>
    <row r="216" spans="1:7" ht="12.75" customHeight="1" x14ac:dyDescent="0.2">
      <c r="A216" s="47" t="s">
        <v>281</v>
      </c>
      <c r="B216" s="53">
        <v>1000</v>
      </c>
      <c r="C216" s="53"/>
      <c r="D216" s="53">
        <v>63079010</v>
      </c>
      <c r="E216" s="47" t="s">
        <v>120</v>
      </c>
      <c r="F216" s="54" t="s">
        <v>30</v>
      </c>
      <c r="G216" s="47" t="s">
        <v>346</v>
      </c>
    </row>
    <row r="217" spans="1:7" ht="12.75" x14ac:dyDescent="0.2">
      <c r="A217" s="47" t="s">
        <v>264</v>
      </c>
      <c r="B217" s="47">
        <v>50</v>
      </c>
      <c r="C217" s="47" t="s">
        <v>358</v>
      </c>
      <c r="D217" s="47">
        <v>30059090</v>
      </c>
      <c r="E217" s="47" t="s">
        <v>120</v>
      </c>
      <c r="F217" s="54" t="s">
        <v>30</v>
      </c>
      <c r="G217" s="48" t="s">
        <v>314</v>
      </c>
    </row>
    <row r="218" spans="1:7" ht="12.75" x14ac:dyDescent="0.2">
      <c r="A218" s="47" t="s">
        <v>265</v>
      </c>
      <c r="B218" s="47">
        <v>50</v>
      </c>
      <c r="C218" s="47" t="s">
        <v>358</v>
      </c>
      <c r="D218" s="47">
        <v>30059090</v>
      </c>
      <c r="E218" s="47" t="s">
        <v>120</v>
      </c>
      <c r="F218" s="54" t="s">
        <v>30</v>
      </c>
      <c r="G218" s="48" t="s">
        <v>314</v>
      </c>
    </row>
    <row r="219" spans="1:7" ht="12.75" x14ac:dyDescent="0.2">
      <c r="A219" s="47" t="s">
        <v>4</v>
      </c>
      <c r="B219" s="47">
        <v>7</v>
      </c>
      <c r="C219" s="47" t="s">
        <v>369</v>
      </c>
      <c r="D219" s="47">
        <v>30049099</v>
      </c>
      <c r="E219" s="47" t="s">
        <v>120</v>
      </c>
      <c r="F219" s="49" t="s">
        <v>97</v>
      </c>
      <c r="G219" s="48" t="s">
        <v>326</v>
      </c>
    </row>
    <row r="220" spans="1:7" ht="12.75" x14ac:dyDescent="0.2">
      <c r="A220" s="47" t="s">
        <v>5</v>
      </c>
      <c r="B220" s="47">
        <v>4</v>
      </c>
      <c r="C220" s="48" t="s">
        <v>383</v>
      </c>
      <c r="D220" s="47">
        <v>90183219</v>
      </c>
      <c r="E220" s="47" t="s">
        <v>120</v>
      </c>
      <c r="F220" s="49" t="s">
        <v>30</v>
      </c>
      <c r="G220" s="48" t="s">
        <v>328</v>
      </c>
    </row>
    <row r="221" spans="1:7" ht="12.75" x14ac:dyDescent="0.2">
      <c r="A221" s="47" t="s">
        <v>7</v>
      </c>
      <c r="B221" s="47">
        <v>2</v>
      </c>
      <c r="C221" s="47"/>
      <c r="D221" s="47">
        <v>90183219</v>
      </c>
      <c r="E221" s="47" t="s">
        <v>120</v>
      </c>
      <c r="F221" s="49" t="s">
        <v>30</v>
      </c>
      <c r="G221" s="48" t="s">
        <v>327</v>
      </c>
    </row>
    <row r="222" spans="1:7" ht="12.75" x14ac:dyDescent="0.2">
      <c r="A222" s="47" t="s">
        <v>8</v>
      </c>
      <c r="B222" s="47">
        <v>2</v>
      </c>
      <c r="C222" s="47"/>
      <c r="D222" s="47">
        <v>90183219</v>
      </c>
      <c r="E222" s="47" t="s">
        <v>120</v>
      </c>
      <c r="F222" s="49" t="s">
        <v>30</v>
      </c>
      <c r="G222" s="47" t="s">
        <v>327</v>
      </c>
    </row>
    <row r="223" spans="1:7" ht="12.75" x14ac:dyDescent="0.2">
      <c r="A223" s="47" t="s">
        <v>9</v>
      </c>
      <c r="B223" s="47">
        <v>2</v>
      </c>
      <c r="C223" s="47"/>
      <c r="D223" s="47">
        <v>90183219</v>
      </c>
      <c r="E223" s="47" t="s">
        <v>120</v>
      </c>
      <c r="F223" s="49" t="s">
        <v>30</v>
      </c>
      <c r="G223" s="47" t="s">
        <v>327</v>
      </c>
    </row>
    <row r="224" spans="1:7" ht="12.75" x14ac:dyDescent="0.2">
      <c r="A224" s="47" t="s">
        <v>12</v>
      </c>
      <c r="B224" s="47">
        <v>300</v>
      </c>
      <c r="C224" s="47"/>
      <c r="D224" s="47">
        <v>90183219</v>
      </c>
      <c r="E224" s="47" t="s">
        <v>120</v>
      </c>
      <c r="F224" s="49" t="s">
        <v>30</v>
      </c>
      <c r="G224" s="48" t="s">
        <v>327</v>
      </c>
    </row>
    <row r="225" spans="1:7" ht="12.75" x14ac:dyDescent="0.2">
      <c r="A225" s="47" t="s">
        <v>15</v>
      </c>
      <c r="B225" s="47">
        <v>300</v>
      </c>
      <c r="C225" s="47"/>
      <c r="D225" s="47">
        <v>90183219</v>
      </c>
      <c r="E225" s="47" t="s">
        <v>120</v>
      </c>
      <c r="F225" s="49" t="s">
        <v>30</v>
      </c>
      <c r="G225" s="48" t="s">
        <v>327</v>
      </c>
    </row>
    <row r="226" spans="1:7" ht="12.75" x14ac:dyDescent="0.2">
      <c r="A226" s="47" t="s">
        <v>17</v>
      </c>
      <c r="B226" s="47">
        <v>20</v>
      </c>
      <c r="C226" s="47"/>
      <c r="D226" s="47">
        <v>30049054</v>
      </c>
      <c r="E226" s="47" t="s">
        <v>120</v>
      </c>
      <c r="F226" s="49" t="s">
        <v>97</v>
      </c>
      <c r="G226" s="48" t="s">
        <v>326</v>
      </c>
    </row>
    <row r="227" spans="1:7" ht="12.75" x14ac:dyDescent="0.2">
      <c r="A227" s="47" t="s">
        <v>24</v>
      </c>
      <c r="B227" s="47">
        <v>8</v>
      </c>
      <c r="C227" s="47"/>
      <c r="D227" s="47">
        <v>90261029</v>
      </c>
      <c r="E227" s="47" t="s">
        <v>120</v>
      </c>
      <c r="F227" s="49" t="s">
        <v>30</v>
      </c>
      <c r="G227" s="48" t="s">
        <v>315</v>
      </c>
    </row>
    <row r="228" spans="1:7" ht="12.75" x14ac:dyDescent="0.2">
      <c r="A228" s="47" t="s">
        <v>25</v>
      </c>
      <c r="B228" s="47">
        <v>8</v>
      </c>
      <c r="C228" s="47"/>
      <c r="D228" s="47">
        <v>90261029</v>
      </c>
      <c r="E228" s="47" t="s">
        <v>120</v>
      </c>
      <c r="F228" s="49" t="s">
        <v>30</v>
      </c>
      <c r="G228" s="48" t="s">
        <v>315</v>
      </c>
    </row>
    <row r="229" spans="1:7" s="46" customFormat="1" x14ac:dyDescent="0.25">
      <c r="A229" s="47" t="s">
        <v>26</v>
      </c>
      <c r="B229" s="47">
        <v>8</v>
      </c>
      <c r="C229" s="47"/>
      <c r="D229" s="47">
        <v>90261029</v>
      </c>
      <c r="E229" s="47" t="s">
        <v>120</v>
      </c>
      <c r="F229" s="49" t="s">
        <v>30</v>
      </c>
      <c r="G229" s="48" t="s">
        <v>315</v>
      </c>
    </row>
    <row r="230" spans="1:7" ht="12.75" x14ac:dyDescent="0.2">
      <c r="A230" s="47" t="s">
        <v>27</v>
      </c>
      <c r="B230" s="47">
        <v>8</v>
      </c>
      <c r="C230" s="47"/>
      <c r="D230" s="47">
        <v>90261029</v>
      </c>
      <c r="E230" s="47" t="s">
        <v>120</v>
      </c>
      <c r="F230" s="49" t="s">
        <v>30</v>
      </c>
      <c r="G230" s="48" t="s">
        <v>315</v>
      </c>
    </row>
    <row r="231" spans="1:7" ht="12.75" x14ac:dyDescent="0.2">
      <c r="A231" s="47" t="s">
        <v>23</v>
      </c>
      <c r="B231" s="47">
        <v>8</v>
      </c>
      <c r="C231" s="47"/>
      <c r="D231" s="47">
        <v>90261029</v>
      </c>
      <c r="E231" s="47" t="s">
        <v>120</v>
      </c>
      <c r="F231" s="49" t="s">
        <v>30</v>
      </c>
      <c r="G231" s="48" t="s">
        <v>315</v>
      </c>
    </row>
    <row r="232" spans="1:7" s="46" customFormat="1" x14ac:dyDescent="0.25">
      <c r="A232" s="53" t="s">
        <v>219</v>
      </c>
      <c r="B232" s="47">
        <v>25</v>
      </c>
      <c r="C232" s="53"/>
      <c r="D232" s="53">
        <v>90183929</v>
      </c>
      <c r="E232" s="47" t="s">
        <v>120</v>
      </c>
      <c r="F232" s="54" t="s">
        <v>30</v>
      </c>
      <c r="G232" s="48" t="s">
        <v>327</v>
      </c>
    </row>
    <row r="233" spans="1:7" ht="12.75" x14ac:dyDescent="0.2">
      <c r="A233" s="47" t="s">
        <v>308</v>
      </c>
      <c r="B233" s="47">
        <v>1</v>
      </c>
      <c r="C233" s="47"/>
      <c r="D233" s="47"/>
      <c r="E233" s="47" t="s">
        <v>292</v>
      </c>
      <c r="F233" s="49" t="s">
        <v>97</v>
      </c>
      <c r="G233" s="48" t="s">
        <v>333</v>
      </c>
    </row>
    <row r="234" spans="1:7" ht="12.75" x14ac:dyDescent="0.2">
      <c r="A234" s="47" t="s">
        <v>28</v>
      </c>
      <c r="B234" s="47">
        <v>6</v>
      </c>
      <c r="C234" s="47"/>
      <c r="D234" s="47"/>
      <c r="E234" s="47" t="s">
        <v>120</v>
      </c>
      <c r="F234" s="49" t="s">
        <v>30</v>
      </c>
      <c r="G234" s="48" t="s">
        <v>370</v>
      </c>
    </row>
    <row r="235" spans="1:7" ht="12.75" customHeight="1" x14ac:dyDescent="0.2">
      <c r="A235" s="47" t="s">
        <v>309</v>
      </c>
      <c r="B235" s="47">
        <v>3</v>
      </c>
      <c r="C235" s="47"/>
      <c r="D235" s="47">
        <v>90189029</v>
      </c>
      <c r="E235" s="47" t="s">
        <v>120</v>
      </c>
      <c r="F235" s="49" t="s">
        <v>30</v>
      </c>
      <c r="G235" s="48" t="s">
        <v>370</v>
      </c>
    </row>
    <row r="236" spans="1:7" s="46" customFormat="1" x14ac:dyDescent="0.25">
      <c r="A236" s="47" t="s">
        <v>286</v>
      </c>
      <c r="B236" s="47">
        <v>1</v>
      </c>
      <c r="C236" s="47" t="s">
        <v>372</v>
      </c>
      <c r="D236" s="47">
        <v>95030039</v>
      </c>
      <c r="E236" s="47" t="s">
        <v>120</v>
      </c>
      <c r="F236" s="55" t="s">
        <v>288</v>
      </c>
      <c r="G236" s="48"/>
    </row>
    <row r="237" spans="1:7" ht="12.75" x14ac:dyDescent="0.2">
      <c r="A237" s="47" t="s">
        <v>285</v>
      </c>
      <c r="B237" s="47">
        <v>1</v>
      </c>
      <c r="C237" s="47" t="s">
        <v>372</v>
      </c>
      <c r="D237" s="47">
        <v>95030039</v>
      </c>
      <c r="E237" s="47" t="s">
        <v>120</v>
      </c>
      <c r="F237" s="55" t="s">
        <v>288</v>
      </c>
      <c r="G237" s="48"/>
    </row>
    <row r="238" spans="1:7" ht="12.75" x14ac:dyDescent="0.2">
      <c r="A238" s="47" t="s">
        <v>36</v>
      </c>
      <c r="B238" s="47">
        <v>35</v>
      </c>
      <c r="C238" s="47"/>
      <c r="D238" s="47">
        <v>30059020</v>
      </c>
      <c r="E238" s="47" t="s">
        <v>120</v>
      </c>
      <c r="F238" s="49" t="s">
        <v>30</v>
      </c>
      <c r="G238" s="48" t="s">
        <v>327</v>
      </c>
    </row>
    <row r="239" spans="1:7" ht="12.75" x14ac:dyDescent="0.2">
      <c r="A239" s="47" t="s">
        <v>41</v>
      </c>
      <c r="B239" s="47">
        <v>20</v>
      </c>
      <c r="C239" s="47"/>
      <c r="D239" s="47">
        <v>90183929</v>
      </c>
      <c r="E239" s="47" t="s">
        <v>120</v>
      </c>
      <c r="F239" s="49" t="s">
        <v>30</v>
      </c>
      <c r="G239" s="48" t="s">
        <v>314</v>
      </c>
    </row>
    <row r="240" spans="1:7" s="46" customFormat="1" x14ac:dyDescent="0.25">
      <c r="A240" s="47" t="s">
        <v>42</v>
      </c>
      <c r="B240" s="47">
        <v>20</v>
      </c>
      <c r="C240" s="47"/>
      <c r="D240" s="47">
        <v>90183929</v>
      </c>
      <c r="E240" s="47" t="s">
        <v>120</v>
      </c>
      <c r="F240" s="49" t="s">
        <v>30</v>
      </c>
      <c r="G240" s="48" t="s">
        <v>314</v>
      </c>
    </row>
    <row r="241" spans="1:7" s="1" customFormat="1" x14ac:dyDescent="0.25">
      <c r="A241" s="57" t="s">
        <v>43</v>
      </c>
      <c r="B241" s="62">
        <v>20</v>
      </c>
      <c r="C241" s="62" t="s">
        <v>343</v>
      </c>
      <c r="D241" s="63">
        <v>47288</v>
      </c>
      <c r="E241" s="60" t="s">
        <v>431</v>
      </c>
      <c r="F241" s="64"/>
      <c r="G241" s="60"/>
    </row>
    <row r="242" spans="1:7" s="46" customFormat="1" x14ac:dyDescent="0.25">
      <c r="A242" s="47" t="s">
        <v>434</v>
      </c>
      <c r="B242" s="47">
        <v>20</v>
      </c>
      <c r="C242" s="47"/>
      <c r="D242" s="47">
        <v>90183929</v>
      </c>
      <c r="E242" s="47" t="s">
        <v>120</v>
      </c>
      <c r="F242" s="49" t="s">
        <v>30</v>
      </c>
      <c r="G242" s="48" t="s">
        <v>314</v>
      </c>
    </row>
    <row r="243" spans="1:7" ht="12.75" customHeight="1" x14ac:dyDescent="0.2">
      <c r="A243" s="47" t="s">
        <v>44</v>
      </c>
      <c r="B243" s="47">
        <v>2</v>
      </c>
      <c r="C243" s="47"/>
      <c r="D243" s="47">
        <v>90183929</v>
      </c>
      <c r="E243" s="47" t="s">
        <v>120</v>
      </c>
      <c r="F243" s="49" t="s">
        <v>30</v>
      </c>
      <c r="G243" s="48" t="s">
        <v>336</v>
      </c>
    </row>
    <row r="244" spans="1:7" ht="12.75" customHeight="1" x14ac:dyDescent="0.2">
      <c r="A244" s="47" t="s">
        <v>49</v>
      </c>
      <c r="B244" s="47">
        <v>2</v>
      </c>
      <c r="C244" s="47"/>
      <c r="D244" s="47">
        <v>90183929</v>
      </c>
      <c r="E244" s="47" t="s">
        <v>120</v>
      </c>
      <c r="F244" s="54" t="s">
        <v>30</v>
      </c>
      <c r="G244" s="48" t="s">
        <v>338</v>
      </c>
    </row>
    <row r="245" spans="1:7" ht="12.75" customHeight="1" x14ac:dyDescent="0.2">
      <c r="A245" s="47" t="s">
        <v>50</v>
      </c>
      <c r="B245" s="47">
        <v>2</v>
      </c>
      <c r="C245" s="47"/>
      <c r="D245" s="47">
        <v>90183929</v>
      </c>
      <c r="E245" s="47" t="s">
        <v>120</v>
      </c>
      <c r="F245" s="54" t="s">
        <v>30</v>
      </c>
      <c r="G245" s="48" t="s">
        <v>338</v>
      </c>
    </row>
    <row r="246" spans="1:7" ht="12.75" x14ac:dyDescent="0.2">
      <c r="A246" s="47" t="s">
        <v>51</v>
      </c>
      <c r="B246" s="47">
        <v>2</v>
      </c>
      <c r="C246" s="47"/>
      <c r="D246" s="47">
        <v>90183929</v>
      </c>
      <c r="E246" s="47" t="s">
        <v>120</v>
      </c>
      <c r="F246" s="54" t="s">
        <v>30</v>
      </c>
      <c r="G246" s="48" t="s">
        <v>338</v>
      </c>
    </row>
    <row r="247" spans="1:7" ht="12.75" customHeight="1" x14ac:dyDescent="0.2">
      <c r="A247" s="47" t="s">
        <v>52</v>
      </c>
      <c r="B247" s="47">
        <v>2</v>
      </c>
      <c r="C247" s="47"/>
      <c r="D247" s="47">
        <v>90183929</v>
      </c>
      <c r="E247" s="47" t="s">
        <v>120</v>
      </c>
      <c r="F247" s="54" t="s">
        <v>30</v>
      </c>
      <c r="G247" s="48" t="s">
        <v>338</v>
      </c>
    </row>
    <row r="248" spans="1:7" ht="12.75" customHeight="1" x14ac:dyDescent="0.2">
      <c r="A248" s="47" t="s">
        <v>53</v>
      </c>
      <c r="B248" s="47">
        <v>2</v>
      </c>
      <c r="C248" s="47"/>
      <c r="D248" s="47">
        <v>90183929</v>
      </c>
      <c r="E248" s="47" t="s">
        <v>120</v>
      </c>
      <c r="F248" s="54" t="s">
        <v>30</v>
      </c>
      <c r="G248" s="48" t="s">
        <v>338</v>
      </c>
    </row>
    <row r="249" spans="1:7" ht="12.75" customHeight="1" x14ac:dyDescent="0.2">
      <c r="A249" s="47" t="s">
        <v>54</v>
      </c>
      <c r="B249" s="47">
        <v>2</v>
      </c>
      <c r="C249" s="47"/>
      <c r="D249" s="47">
        <v>90183929</v>
      </c>
      <c r="E249" s="47" t="s">
        <v>120</v>
      </c>
      <c r="F249" s="54" t="s">
        <v>30</v>
      </c>
      <c r="G249" s="48" t="s">
        <v>338</v>
      </c>
    </row>
    <row r="250" spans="1:7" s="46" customFormat="1" x14ac:dyDescent="0.25">
      <c r="A250" s="47" t="s">
        <v>34</v>
      </c>
      <c r="B250" s="47">
        <v>100</v>
      </c>
      <c r="C250" s="47"/>
      <c r="D250" s="47">
        <v>90183929</v>
      </c>
      <c r="E250" s="47" t="s">
        <v>120</v>
      </c>
      <c r="F250" s="54" t="s">
        <v>30</v>
      </c>
      <c r="G250" s="47" t="s">
        <v>314</v>
      </c>
    </row>
    <row r="251" spans="1:7" ht="12.75" x14ac:dyDescent="0.2">
      <c r="A251" s="47" t="s">
        <v>57</v>
      </c>
      <c r="B251" s="47">
        <v>100</v>
      </c>
      <c r="C251" s="47"/>
      <c r="D251" s="47">
        <v>90183219</v>
      </c>
      <c r="E251" s="47" t="s">
        <v>120</v>
      </c>
      <c r="F251" s="54" t="s">
        <v>30</v>
      </c>
      <c r="G251" s="47" t="s">
        <v>314</v>
      </c>
    </row>
    <row r="252" spans="1:7" ht="12.75" x14ac:dyDescent="0.2">
      <c r="A252" s="47" t="s">
        <v>58</v>
      </c>
      <c r="B252" s="47">
        <v>100</v>
      </c>
      <c r="C252" s="47"/>
      <c r="D252" s="47">
        <v>90183929</v>
      </c>
      <c r="E252" s="47" t="s">
        <v>120</v>
      </c>
      <c r="F252" s="54" t="s">
        <v>30</v>
      </c>
      <c r="G252" s="47" t="s">
        <v>314</v>
      </c>
    </row>
    <row r="253" spans="1:7" ht="15" customHeight="1" x14ac:dyDescent="0.2">
      <c r="A253" s="47" t="s">
        <v>351</v>
      </c>
      <c r="B253" s="47">
        <v>2</v>
      </c>
      <c r="C253" s="47"/>
      <c r="D253" s="47"/>
      <c r="E253" s="47"/>
      <c r="F253" s="54"/>
      <c r="G253" s="48" t="s">
        <v>329</v>
      </c>
    </row>
    <row r="254" spans="1:7" ht="12.75" customHeight="1" x14ac:dyDescent="0.2">
      <c r="A254" s="47" t="s">
        <v>352</v>
      </c>
      <c r="B254" s="48">
        <v>2</v>
      </c>
      <c r="C254" s="48"/>
      <c r="D254" s="48"/>
      <c r="E254" s="48"/>
      <c r="F254" s="54"/>
      <c r="G254" s="47" t="s">
        <v>329</v>
      </c>
    </row>
    <row r="255" spans="1:7" ht="12.75" x14ac:dyDescent="0.2">
      <c r="A255" s="47" t="s">
        <v>63</v>
      </c>
      <c r="B255" s="47">
        <v>10</v>
      </c>
      <c r="C255" s="47"/>
      <c r="D255" s="47">
        <v>30042059</v>
      </c>
      <c r="E255" s="47" t="s">
        <v>120</v>
      </c>
      <c r="F255" s="54" t="s">
        <v>97</v>
      </c>
      <c r="G255" s="47" t="s">
        <v>326</v>
      </c>
    </row>
    <row r="256" spans="1:7" ht="12.75" x14ac:dyDescent="0.2">
      <c r="A256" s="47" t="s">
        <v>297</v>
      </c>
      <c r="B256" s="47">
        <v>10</v>
      </c>
      <c r="C256" s="47"/>
      <c r="D256" s="47"/>
      <c r="E256" s="47"/>
      <c r="F256" s="54"/>
      <c r="G256" s="48" t="s">
        <v>315</v>
      </c>
    </row>
    <row r="257" spans="1:7" ht="12.75" x14ac:dyDescent="0.2">
      <c r="A257" s="47" t="s">
        <v>61</v>
      </c>
      <c r="B257" s="47">
        <v>150</v>
      </c>
      <c r="C257" s="47"/>
      <c r="D257" s="47">
        <v>30049099</v>
      </c>
      <c r="E257" s="47" t="s">
        <v>120</v>
      </c>
      <c r="F257" s="54" t="s">
        <v>97</v>
      </c>
      <c r="G257" s="48" t="s">
        <v>326</v>
      </c>
    </row>
    <row r="258" spans="1:7" ht="12.75" x14ac:dyDescent="0.2">
      <c r="A258" s="47" t="s">
        <v>266</v>
      </c>
      <c r="B258" s="47">
        <v>150</v>
      </c>
      <c r="C258" s="47"/>
      <c r="D258" s="47">
        <v>30059090</v>
      </c>
      <c r="E258" s="47" t="s">
        <v>120</v>
      </c>
      <c r="F258" s="54" t="s">
        <v>30</v>
      </c>
      <c r="G258" s="48" t="s">
        <v>329</v>
      </c>
    </row>
    <row r="259" spans="1:7" ht="12.75" x14ac:dyDescent="0.2">
      <c r="A259" s="47" t="s">
        <v>268</v>
      </c>
      <c r="B259" s="47">
        <v>30</v>
      </c>
      <c r="C259" s="47"/>
      <c r="D259" s="47">
        <v>30061090</v>
      </c>
      <c r="E259" s="47" t="s">
        <v>120</v>
      </c>
      <c r="F259" s="54" t="s">
        <v>30</v>
      </c>
      <c r="G259" s="48" t="s">
        <v>329</v>
      </c>
    </row>
    <row r="260" spans="1:7" ht="12.75" customHeight="1" x14ac:dyDescent="0.2">
      <c r="A260" s="47" t="s">
        <v>237</v>
      </c>
      <c r="B260" s="47">
        <v>3</v>
      </c>
      <c r="C260" s="47" t="s">
        <v>364</v>
      </c>
      <c r="D260" s="53">
        <v>30049032</v>
      </c>
      <c r="E260" s="47" t="s">
        <v>120</v>
      </c>
      <c r="F260" s="54" t="s">
        <v>30</v>
      </c>
      <c r="G260" s="48" t="s">
        <v>340</v>
      </c>
    </row>
    <row r="261" spans="1:7" ht="12.75" customHeight="1" x14ac:dyDescent="0.2">
      <c r="A261" s="47" t="s">
        <v>302</v>
      </c>
      <c r="B261" s="47">
        <v>12</v>
      </c>
      <c r="C261" s="47" t="s">
        <v>357</v>
      </c>
      <c r="D261" s="53"/>
      <c r="E261" s="47"/>
      <c r="F261" s="54"/>
      <c r="G261" s="47" t="s">
        <v>326</v>
      </c>
    </row>
    <row r="262" spans="1:7" ht="12.75" x14ac:dyDescent="0.2">
      <c r="A262" s="47" t="s">
        <v>258</v>
      </c>
      <c r="B262" s="47">
        <v>20</v>
      </c>
      <c r="C262" s="47"/>
      <c r="D262" s="47">
        <v>30049039</v>
      </c>
      <c r="E262" s="47" t="s">
        <v>120</v>
      </c>
      <c r="F262" s="54" t="s">
        <v>97</v>
      </c>
      <c r="G262" s="48" t="s">
        <v>326</v>
      </c>
    </row>
    <row r="263" spans="1:7" ht="12.75" x14ac:dyDescent="0.2">
      <c r="A263" s="47" t="s">
        <v>76</v>
      </c>
      <c r="B263" s="47">
        <v>60</v>
      </c>
      <c r="C263" s="47"/>
      <c r="D263" s="47">
        <v>30039099</v>
      </c>
      <c r="E263" s="47" t="s">
        <v>120</v>
      </c>
      <c r="F263" s="54" t="s">
        <v>97</v>
      </c>
      <c r="G263" s="48" t="s">
        <v>326</v>
      </c>
    </row>
    <row r="264" spans="1:7" s="46" customFormat="1" x14ac:dyDescent="0.25">
      <c r="A264" s="47" t="s">
        <v>77</v>
      </c>
      <c r="B264" s="47">
        <v>3</v>
      </c>
      <c r="C264" s="47"/>
      <c r="D264" s="47">
        <v>90183921</v>
      </c>
      <c r="E264" s="47" t="s">
        <v>120</v>
      </c>
      <c r="F264" s="54" t="s">
        <v>30</v>
      </c>
      <c r="G264" s="48" t="s">
        <v>329</v>
      </c>
    </row>
    <row r="265" spans="1:7" s="46" customFormat="1" x14ac:dyDescent="0.25">
      <c r="A265" s="47" t="s">
        <v>79</v>
      </c>
      <c r="B265" s="47">
        <v>3</v>
      </c>
      <c r="C265" s="47"/>
      <c r="D265" s="47">
        <v>90183921</v>
      </c>
      <c r="E265" s="47" t="s">
        <v>120</v>
      </c>
      <c r="F265" s="54" t="s">
        <v>30</v>
      </c>
      <c r="G265" s="48" t="s">
        <v>329</v>
      </c>
    </row>
    <row r="266" spans="1:7" ht="12.75" customHeight="1" x14ac:dyDescent="0.2">
      <c r="A266" s="47" t="s">
        <v>81</v>
      </c>
      <c r="B266" s="47">
        <v>50</v>
      </c>
      <c r="C266" s="47"/>
      <c r="D266" s="47">
        <v>48189090</v>
      </c>
      <c r="E266" s="47" t="s">
        <v>120</v>
      </c>
      <c r="F266" s="54" t="s">
        <v>30</v>
      </c>
      <c r="G266" s="48" t="s">
        <v>329</v>
      </c>
    </row>
    <row r="267" spans="1:7" ht="12.75" customHeight="1" x14ac:dyDescent="0.2">
      <c r="A267" s="47" t="s">
        <v>280</v>
      </c>
      <c r="B267" s="47">
        <v>50</v>
      </c>
      <c r="C267" s="47"/>
      <c r="D267" s="47">
        <v>48189090</v>
      </c>
      <c r="E267" s="47" t="s">
        <v>120</v>
      </c>
      <c r="F267" s="54" t="s">
        <v>30</v>
      </c>
      <c r="G267" s="48" t="s">
        <v>329</v>
      </c>
    </row>
    <row r="268" spans="1:7" ht="12.75" customHeight="1" x14ac:dyDescent="0.2">
      <c r="A268" s="47" t="s">
        <v>85</v>
      </c>
      <c r="B268" s="47">
        <v>70</v>
      </c>
      <c r="C268" s="47" t="s">
        <v>361</v>
      </c>
      <c r="D268" s="47">
        <v>90183921</v>
      </c>
      <c r="E268" s="47" t="s">
        <v>120</v>
      </c>
      <c r="F268" s="54" t="s">
        <v>30</v>
      </c>
      <c r="G268" s="48" t="s">
        <v>315</v>
      </c>
    </row>
    <row r="269" spans="1:7" ht="12.75" x14ac:dyDescent="0.2">
      <c r="A269" s="47" t="s">
        <v>86</v>
      </c>
      <c r="B269" s="47">
        <v>300</v>
      </c>
      <c r="C269" s="47"/>
      <c r="D269" s="47">
        <v>30039099</v>
      </c>
      <c r="E269" s="47" t="s">
        <v>120</v>
      </c>
      <c r="F269" s="54" t="s">
        <v>30</v>
      </c>
      <c r="G269" s="48" t="s">
        <v>329</v>
      </c>
    </row>
    <row r="270" spans="1:7" ht="12.75" customHeight="1" x14ac:dyDescent="0.2">
      <c r="A270" s="47" t="s">
        <v>99</v>
      </c>
      <c r="B270" s="47">
        <v>20</v>
      </c>
      <c r="C270" s="47"/>
      <c r="D270" s="47">
        <v>30067000</v>
      </c>
      <c r="E270" s="47" t="s">
        <v>120</v>
      </c>
      <c r="F270" s="54" t="s">
        <v>30</v>
      </c>
      <c r="G270" s="48" t="s">
        <v>329</v>
      </c>
    </row>
    <row r="271" spans="1:7" ht="12.75" customHeight="1" x14ac:dyDescent="0.2">
      <c r="A271" s="47" t="s">
        <v>100</v>
      </c>
      <c r="B271" s="47">
        <v>20</v>
      </c>
      <c r="C271" s="47"/>
      <c r="D271" s="47" t="s">
        <v>101</v>
      </c>
      <c r="E271" s="47" t="s">
        <v>120</v>
      </c>
      <c r="F271" s="54" t="s">
        <v>97</v>
      </c>
      <c r="G271" s="48" t="s">
        <v>326</v>
      </c>
    </row>
    <row r="272" spans="1:7" ht="12.75" customHeight="1" x14ac:dyDescent="0.2">
      <c r="A272" s="47" t="s">
        <v>102</v>
      </c>
      <c r="B272" s="47">
        <v>12</v>
      </c>
      <c r="C272" s="47"/>
      <c r="D272" s="47">
        <v>63079010</v>
      </c>
      <c r="E272" s="47" t="s">
        <v>311</v>
      </c>
      <c r="F272" s="54" t="s">
        <v>30</v>
      </c>
      <c r="G272" s="48" t="s">
        <v>346</v>
      </c>
    </row>
    <row r="273" spans="1:7" ht="12.75" customHeight="1" x14ac:dyDescent="0.2">
      <c r="A273" s="47" t="s">
        <v>279</v>
      </c>
      <c r="B273" s="47">
        <v>2</v>
      </c>
      <c r="C273" s="47"/>
      <c r="D273" s="53">
        <v>90183929</v>
      </c>
      <c r="E273" s="47" t="s">
        <v>120</v>
      </c>
      <c r="F273" s="54" t="s">
        <v>30</v>
      </c>
      <c r="G273" s="48" t="s">
        <v>315</v>
      </c>
    </row>
    <row r="274" spans="1:7" ht="15" customHeight="1" x14ac:dyDescent="0.2">
      <c r="A274" s="47" t="s">
        <v>278</v>
      </c>
      <c r="B274" s="47">
        <v>2</v>
      </c>
      <c r="C274" s="47"/>
      <c r="D274" s="53">
        <v>90183929</v>
      </c>
      <c r="E274" s="47" t="s">
        <v>120</v>
      </c>
      <c r="F274" s="54" t="s">
        <v>30</v>
      </c>
      <c r="G274" s="48" t="s">
        <v>315</v>
      </c>
    </row>
    <row r="275" spans="1:7" ht="12.75" x14ac:dyDescent="0.2">
      <c r="A275" s="47" t="s">
        <v>103</v>
      </c>
      <c r="B275" s="47">
        <v>20</v>
      </c>
      <c r="C275" s="47"/>
      <c r="D275" s="47" t="s">
        <v>104</v>
      </c>
      <c r="E275" s="47" t="s">
        <v>120</v>
      </c>
      <c r="F275" s="54" t="s">
        <v>30</v>
      </c>
      <c r="G275" s="48" t="s">
        <v>330</v>
      </c>
    </row>
    <row r="276" spans="1:7" ht="12.75" x14ac:dyDescent="0.2">
      <c r="A276" s="47" t="s">
        <v>252</v>
      </c>
      <c r="B276" s="47">
        <v>10</v>
      </c>
      <c r="C276" s="47" t="s">
        <v>357</v>
      </c>
      <c r="D276" s="53" t="s">
        <v>255</v>
      </c>
      <c r="E276" s="47" t="s">
        <v>120</v>
      </c>
      <c r="F276" s="54" t="s">
        <v>30</v>
      </c>
      <c r="G276" s="48" t="s">
        <v>326</v>
      </c>
    </row>
    <row r="277" spans="1:7" ht="12.75" x14ac:dyDescent="0.2">
      <c r="A277" s="47" t="s">
        <v>105</v>
      </c>
      <c r="B277" s="47">
        <v>20</v>
      </c>
      <c r="C277" s="47"/>
      <c r="D277" s="47" t="s">
        <v>106</v>
      </c>
      <c r="E277" s="47" t="s">
        <v>120</v>
      </c>
      <c r="F277" s="54" t="s">
        <v>97</v>
      </c>
      <c r="G277" s="48" t="s">
        <v>326</v>
      </c>
    </row>
    <row r="278" spans="1:7" ht="12.75" x14ac:dyDescent="0.2">
      <c r="A278" s="47" t="s">
        <v>377</v>
      </c>
      <c r="B278" s="47">
        <v>3</v>
      </c>
      <c r="C278" s="47"/>
      <c r="D278" s="47"/>
      <c r="E278" s="47"/>
      <c r="F278" s="54"/>
      <c r="G278" s="48" t="s">
        <v>328</v>
      </c>
    </row>
    <row r="279" spans="1:7" ht="12.75" customHeight="1" x14ac:dyDescent="0.2">
      <c r="A279" s="47" t="s">
        <v>125</v>
      </c>
      <c r="B279" s="48">
        <v>100</v>
      </c>
      <c r="C279" s="51"/>
      <c r="D279" s="48">
        <v>40151100</v>
      </c>
      <c r="E279" s="52" t="s">
        <v>120</v>
      </c>
      <c r="F279" s="51" t="s">
        <v>30</v>
      </c>
      <c r="G279" s="48" t="s">
        <v>329</v>
      </c>
    </row>
    <row r="280" spans="1:7" ht="12.75" customHeight="1" x14ac:dyDescent="0.2">
      <c r="A280" s="47" t="s">
        <v>129</v>
      </c>
      <c r="B280" s="47">
        <v>50</v>
      </c>
      <c r="C280" s="47"/>
      <c r="D280" s="47">
        <v>40151100</v>
      </c>
      <c r="E280" s="47" t="s">
        <v>120</v>
      </c>
      <c r="F280" s="54" t="s">
        <v>30</v>
      </c>
      <c r="G280" s="48" t="s">
        <v>329</v>
      </c>
    </row>
    <row r="281" spans="1:7" ht="12.75" customHeight="1" x14ac:dyDescent="0.2">
      <c r="A281" s="47" t="s">
        <v>137</v>
      </c>
      <c r="B281" s="48">
        <v>10</v>
      </c>
      <c r="C281" s="51" t="s">
        <v>373</v>
      </c>
      <c r="D281" s="48" t="s">
        <v>135</v>
      </c>
      <c r="E281" s="52" t="s">
        <v>120</v>
      </c>
      <c r="F281" s="48" t="s">
        <v>30</v>
      </c>
      <c r="G281" s="48" t="s">
        <v>329</v>
      </c>
    </row>
    <row r="282" spans="1:7" ht="12.75" customHeight="1" x14ac:dyDescent="0.2">
      <c r="A282" s="47" t="s">
        <v>136</v>
      </c>
      <c r="B282" s="48">
        <v>10</v>
      </c>
      <c r="C282" s="51" t="s">
        <v>373</v>
      </c>
      <c r="D282" s="48">
        <v>40151900</v>
      </c>
      <c r="E282" s="52" t="s">
        <v>120</v>
      </c>
      <c r="F282" s="48" t="s">
        <v>30</v>
      </c>
      <c r="G282" s="48" t="s">
        <v>329</v>
      </c>
    </row>
    <row r="283" spans="1:7" ht="12.75" x14ac:dyDescent="0.2">
      <c r="A283" s="47" t="s">
        <v>261</v>
      </c>
      <c r="B283" s="47">
        <v>25</v>
      </c>
      <c r="C283" s="47"/>
      <c r="D283" s="47">
        <v>90183929</v>
      </c>
      <c r="E283" s="47" t="s">
        <v>120</v>
      </c>
      <c r="F283" s="54" t="s">
        <v>30</v>
      </c>
      <c r="G283" s="48" t="s">
        <v>315</v>
      </c>
    </row>
    <row r="284" spans="1:7" ht="12.75" x14ac:dyDescent="0.2">
      <c r="A284" s="47" t="s">
        <v>262</v>
      </c>
      <c r="B284" s="47">
        <v>25</v>
      </c>
      <c r="C284" s="47"/>
      <c r="D284" s="47">
        <v>90183929</v>
      </c>
      <c r="E284" s="47" t="s">
        <v>120</v>
      </c>
      <c r="F284" s="54" t="s">
        <v>30</v>
      </c>
      <c r="G284" s="48" t="s">
        <v>315</v>
      </c>
    </row>
    <row r="285" spans="1:7" ht="12.75" customHeight="1" x14ac:dyDescent="0.2">
      <c r="A285" s="47" t="s">
        <v>142</v>
      </c>
      <c r="B285" s="47">
        <v>2</v>
      </c>
      <c r="C285" s="47"/>
      <c r="D285" s="47">
        <v>90183929</v>
      </c>
      <c r="E285" s="47" t="s">
        <v>120</v>
      </c>
      <c r="F285" s="54" t="s">
        <v>30</v>
      </c>
      <c r="G285" s="48" t="s">
        <v>343</v>
      </c>
    </row>
    <row r="286" spans="1:7" ht="12.75" x14ac:dyDescent="0.2">
      <c r="A286" s="47" t="s">
        <v>143</v>
      </c>
      <c r="B286" s="47">
        <v>2</v>
      </c>
      <c r="C286" s="47"/>
      <c r="D286" s="47">
        <v>90183929</v>
      </c>
      <c r="E286" s="47" t="s">
        <v>120</v>
      </c>
      <c r="F286" s="54" t="s">
        <v>30</v>
      </c>
      <c r="G286" s="48" t="s">
        <v>343</v>
      </c>
    </row>
    <row r="287" spans="1:7" ht="12.75" customHeight="1" x14ac:dyDescent="0.2">
      <c r="A287" s="47" t="s">
        <v>144</v>
      </c>
      <c r="B287" s="47">
        <v>2</v>
      </c>
      <c r="C287" s="47"/>
      <c r="D287" s="47">
        <v>90183929</v>
      </c>
      <c r="E287" s="47" t="s">
        <v>120</v>
      </c>
      <c r="F287" s="54" t="s">
        <v>30</v>
      </c>
      <c r="G287" s="48" t="s">
        <v>343</v>
      </c>
    </row>
    <row r="288" spans="1:7" ht="12.75" x14ac:dyDescent="0.2">
      <c r="A288" s="47" t="s">
        <v>145</v>
      </c>
      <c r="B288" s="47">
        <v>2</v>
      </c>
      <c r="C288" s="47"/>
      <c r="D288" s="47">
        <v>90183929</v>
      </c>
      <c r="E288" s="47" t="s">
        <v>120</v>
      </c>
      <c r="F288" s="54" t="s">
        <v>30</v>
      </c>
      <c r="G288" s="48" t="s">
        <v>343</v>
      </c>
    </row>
    <row r="289" spans="1:7" ht="12.75" x14ac:dyDescent="0.2">
      <c r="A289" s="47" t="s">
        <v>146</v>
      </c>
      <c r="B289" s="47">
        <v>2</v>
      </c>
      <c r="C289" s="47"/>
      <c r="D289" s="47">
        <v>90183929</v>
      </c>
      <c r="E289" s="47" t="s">
        <v>120</v>
      </c>
      <c r="F289" s="54" t="s">
        <v>30</v>
      </c>
      <c r="G289" s="48" t="s">
        <v>343</v>
      </c>
    </row>
    <row r="290" spans="1:7" ht="12.75" x14ac:dyDescent="0.2">
      <c r="A290" s="47" t="s">
        <v>147</v>
      </c>
      <c r="B290" s="47">
        <v>2</v>
      </c>
      <c r="C290" s="47"/>
      <c r="D290" s="47">
        <v>90183929</v>
      </c>
      <c r="E290" s="47" t="s">
        <v>120</v>
      </c>
      <c r="F290" s="54" t="s">
        <v>30</v>
      </c>
      <c r="G290" s="48" t="s">
        <v>343</v>
      </c>
    </row>
    <row r="291" spans="1:7" ht="12.75" x14ac:dyDescent="0.2">
      <c r="A291" s="47" t="s">
        <v>148</v>
      </c>
      <c r="B291" s="47">
        <v>2</v>
      </c>
      <c r="C291" s="47"/>
      <c r="D291" s="47">
        <v>90183929</v>
      </c>
      <c r="E291" s="47" t="s">
        <v>120</v>
      </c>
      <c r="F291" s="54" t="s">
        <v>30</v>
      </c>
      <c r="G291" s="48" t="s">
        <v>343</v>
      </c>
    </row>
    <row r="292" spans="1:7" ht="12.75" x14ac:dyDescent="0.2">
      <c r="A292" s="47" t="s">
        <v>347</v>
      </c>
      <c r="B292" s="47">
        <v>2</v>
      </c>
      <c r="C292" s="47"/>
      <c r="D292" s="47">
        <v>90192020</v>
      </c>
      <c r="E292" s="47" t="s">
        <v>120</v>
      </c>
      <c r="F292" s="54" t="s">
        <v>30</v>
      </c>
      <c r="G292" s="48" t="s">
        <v>330</v>
      </c>
    </row>
    <row r="293" spans="1:7" ht="12.75" x14ac:dyDescent="0.2">
      <c r="A293" s="47" t="s">
        <v>156</v>
      </c>
      <c r="B293" s="48">
        <v>50</v>
      </c>
      <c r="C293" s="51"/>
      <c r="D293" s="48" t="s">
        <v>157</v>
      </c>
      <c r="E293" s="52" t="s">
        <v>120</v>
      </c>
      <c r="F293" s="48" t="s">
        <v>97</v>
      </c>
      <c r="G293" s="48" t="s">
        <v>330</v>
      </c>
    </row>
    <row r="294" spans="1:7" ht="12.75" x14ac:dyDescent="0.2">
      <c r="A294" s="47" t="s">
        <v>367</v>
      </c>
      <c r="B294" s="47">
        <v>10</v>
      </c>
      <c r="C294" s="47"/>
      <c r="D294" s="47" t="s">
        <v>158</v>
      </c>
      <c r="E294" s="47" t="s">
        <v>120</v>
      </c>
      <c r="F294" s="54" t="s">
        <v>30</v>
      </c>
      <c r="G294" s="48" t="s">
        <v>329</v>
      </c>
    </row>
    <row r="295" spans="1:7" ht="12.75" customHeight="1" x14ac:dyDescent="0.2">
      <c r="A295" s="47" t="s">
        <v>164</v>
      </c>
      <c r="B295" s="47">
        <v>50</v>
      </c>
      <c r="C295" s="47"/>
      <c r="D295" s="47" t="s">
        <v>166</v>
      </c>
      <c r="E295" s="47" t="s">
        <v>120</v>
      </c>
      <c r="F295" s="54" t="s">
        <v>30</v>
      </c>
      <c r="G295" s="48" t="s">
        <v>330</v>
      </c>
    </row>
    <row r="296" spans="1:7" ht="12.75" x14ac:dyDescent="0.2">
      <c r="A296" s="47" t="s">
        <v>165</v>
      </c>
      <c r="B296" s="47">
        <v>50</v>
      </c>
      <c r="C296" s="47" t="s">
        <v>397</v>
      </c>
      <c r="D296" s="47" t="s">
        <v>166</v>
      </c>
      <c r="E296" s="47" t="s">
        <v>120</v>
      </c>
      <c r="F296" s="54" t="s">
        <v>30</v>
      </c>
      <c r="G296" s="48" t="s">
        <v>330</v>
      </c>
    </row>
    <row r="297" spans="1:7" ht="12.75" x14ac:dyDescent="0.2">
      <c r="A297" s="47" t="s">
        <v>82</v>
      </c>
      <c r="B297" s="47">
        <v>4</v>
      </c>
      <c r="C297" s="47"/>
      <c r="D297" s="47">
        <v>30049099</v>
      </c>
      <c r="E297" s="47" t="s">
        <v>120</v>
      </c>
      <c r="F297" s="54" t="s">
        <v>97</v>
      </c>
      <c r="G297" s="48" t="s">
        <v>314</v>
      </c>
    </row>
    <row r="298" spans="1:7" ht="12.75" x14ac:dyDescent="0.2">
      <c r="A298" s="47" t="s">
        <v>368</v>
      </c>
      <c r="B298" s="47">
        <v>3</v>
      </c>
      <c r="C298" s="47" t="s">
        <v>375</v>
      </c>
      <c r="D298" s="47"/>
      <c r="E298" s="47" t="s">
        <v>120</v>
      </c>
      <c r="F298" s="54"/>
      <c r="G298" s="48" t="s">
        <v>328</v>
      </c>
    </row>
    <row r="299" spans="1:7" ht="12.75" x14ac:dyDescent="0.2">
      <c r="A299" s="47" t="s">
        <v>167</v>
      </c>
      <c r="B299" s="47">
        <v>1</v>
      </c>
      <c r="C299" s="47"/>
      <c r="D299" s="47" t="s">
        <v>158</v>
      </c>
      <c r="E299" s="47" t="s">
        <v>120</v>
      </c>
      <c r="F299" s="54" t="s">
        <v>30</v>
      </c>
      <c r="G299" s="48" t="s">
        <v>329</v>
      </c>
    </row>
    <row r="300" spans="1:7" ht="12.75" x14ac:dyDescent="0.2">
      <c r="A300" s="47" t="s">
        <v>174</v>
      </c>
      <c r="B300" s="53">
        <v>15</v>
      </c>
      <c r="C300" s="47"/>
      <c r="D300" s="53"/>
      <c r="E300" s="47"/>
      <c r="F300" s="54"/>
      <c r="G300" s="48"/>
    </row>
    <row r="301" spans="1:7" ht="12.75" x14ac:dyDescent="0.2">
      <c r="A301" s="47" t="s">
        <v>171</v>
      </c>
      <c r="B301" s="47">
        <v>15</v>
      </c>
      <c r="C301" s="47"/>
      <c r="D301" s="53" t="s">
        <v>172</v>
      </c>
      <c r="E301" s="47" t="s">
        <v>120</v>
      </c>
      <c r="F301" s="54" t="s">
        <v>30</v>
      </c>
      <c r="G301" s="48" t="s">
        <v>329</v>
      </c>
    </row>
    <row r="302" spans="1:7" ht="12.75" x14ac:dyDescent="0.2">
      <c r="A302" s="47" t="s">
        <v>176</v>
      </c>
      <c r="B302" s="47">
        <v>150</v>
      </c>
      <c r="C302" s="47"/>
      <c r="D302" s="53">
        <v>90183119</v>
      </c>
      <c r="E302" s="47" t="s">
        <v>120</v>
      </c>
      <c r="F302" s="54" t="s">
        <v>30</v>
      </c>
      <c r="G302" s="48" t="s">
        <v>329</v>
      </c>
    </row>
    <row r="303" spans="1:7" ht="12.75" x14ac:dyDescent="0.2">
      <c r="A303" s="47" t="s">
        <v>175</v>
      </c>
      <c r="B303" s="47">
        <v>150</v>
      </c>
      <c r="C303" s="47"/>
      <c r="D303" s="53">
        <v>90183929</v>
      </c>
      <c r="E303" s="47" t="s">
        <v>120</v>
      </c>
      <c r="F303" s="54" t="s">
        <v>30</v>
      </c>
      <c r="G303" s="48" t="s">
        <v>329</v>
      </c>
    </row>
    <row r="304" spans="1:7" ht="12.75" x14ac:dyDescent="0.2">
      <c r="A304" s="47" t="s">
        <v>177</v>
      </c>
      <c r="B304" s="47">
        <v>159</v>
      </c>
      <c r="C304" s="47"/>
      <c r="D304" s="53">
        <v>90183119</v>
      </c>
      <c r="E304" s="47" t="s">
        <v>120</v>
      </c>
      <c r="F304" s="54" t="s">
        <v>30</v>
      </c>
      <c r="G304" s="48" t="s">
        <v>329</v>
      </c>
    </row>
    <row r="305" spans="1:7" ht="12.75" x14ac:dyDescent="0.2">
      <c r="A305" s="47" t="s">
        <v>178</v>
      </c>
      <c r="B305" s="53">
        <v>150</v>
      </c>
      <c r="C305" s="47"/>
      <c r="D305" s="53"/>
      <c r="E305" s="47"/>
      <c r="F305" s="54"/>
      <c r="G305" s="48"/>
    </row>
    <row r="306" spans="1:7" ht="12.75" x14ac:dyDescent="0.2">
      <c r="A306" s="47" t="s">
        <v>179</v>
      </c>
      <c r="B306" s="47">
        <v>33</v>
      </c>
      <c r="C306" s="47"/>
      <c r="D306" s="53">
        <v>90183119</v>
      </c>
      <c r="E306" s="47" t="s">
        <v>120</v>
      </c>
      <c r="F306" s="54" t="s">
        <v>30</v>
      </c>
      <c r="G306" s="48" t="s">
        <v>329</v>
      </c>
    </row>
    <row r="307" spans="1:7" ht="12.75" x14ac:dyDescent="0.2">
      <c r="A307" s="47" t="s">
        <v>353</v>
      </c>
      <c r="B307" s="47">
        <v>1</v>
      </c>
      <c r="C307" s="47"/>
      <c r="D307" s="53"/>
      <c r="E307" s="47"/>
      <c r="F307" s="54" t="s">
        <v>30</v>
      </c>
      <c r="G307" s="48" t="s">
        <v>329</v>
      </c>
    </row>
    <row r="308" spans="1:7" ht="12.75" x14ac:dyDescent="0.2">
      <c r="A308" s="47" t="s">
        <v>161</v>
      </c>
      <c r="B308" s="47">
        <v>10</v>
      </c>
      <c r="C308" s="47"/>
      <c r="D308" s="47">
        <v>33079000</v>
      </c>
      <c r="E308" s="47" t="s">
        <v>120</v>
      </c>
      <c r="F308" s="54" t="s">
        <v>97</v>
      </c>
      <c r="G308" s="48" t="s">
        <v>329</v>
      </c>
    </row>
    <row r="309" spans="1:7" ht="12.75" x14ac:dyDescent="0.2">
      <c r="A309" s="47" t="s">
        <v>184</v>
      </c>
      <c r="B309" s="48">
        <v>50</v>
      </c>
      <c r="C309" s="51"/>
      <c r="D309" s="48">
        <v>90183929</v>
      </c>
      <c r="E309" s="52" t="s">
        <v>120</v>
      </c>
      <c r="F309" s="48" t="s">
        <v>30</v>
      </c>
      <c r="G309" s="48" t="s">
        <v>315</v>
      </c>
    </row>
    <row r="310" spans="1:7" ht="12.75" x14ac:dyDescent="0.2">
      <c r="A310" s="47" t="s">
        <v>180</v>
      </c>
      <c r="B310" s="47">
        <v>2</v>
      </c>
      <c r="C310" s="47"/>
      <c r="D310" s="53">
        <v>90183929</v>
      </c>
      <c r="E310" s="47" t="s">
        <v>120</v>
      </c>
      <c r="F310" s="54" t="s">
        <v>30</v>
      </c>
      <c r="G310" s="48" t="s">
        <v>315</v>
      </c>
    </row>
    <row r="311" spans="1:7" ht="12.75" x14ac:dyDescent="0.2">
      <c r="A311" s="47" t="s">
        <v>188</v>
      </c>
      <c r="B311" s="47">
        <v>6</v>
      </c>
      <c r="C311" s="47"/>
      <c r="D311" s="53">
        <v>30042061</v>
      </c>
      <c r="E311" s="47" t="s">
        <v>120</v>
      </c>
      <c r="F311" s="54" t="s">
        <v>97</v>
      </c>
      <c r="G311" s="48" t="s">
        <v>326</v>
      </c>
    </row>
    <row r="312" spans="1:7" ht="14.25" customHeight="1" x14ac:dyDescent="0.2">
      <c r="A312" s="47" t="s">
        <v>191</v>
      </c>
      <c r="B312" s="47">
        <v>0</v>
      </c>
      <c r="C312" s="47"/>
      <c r="D312" s="53">
        <v>30059090</v>
      </c>
      <c r="E312" s="47" t="s">
        <v>120</v>
      </c>
      <c r="F312" s="54" t="s">
        <v>30</v>
      </c>
      <c r="G312" s="48" t="s">
        <v>329</v>
      </c>
    </row>
    <row r="313" spans="1:7" s="46" customFormat="1" x14ac:dyDescent="0.25">
      <c r="A313" s="47" t="s">
        <v>192</v>
      </c>
      <c r="B313" s="47">
        <v>6</v>
      </c>
      <c r="C313" s="47"/>
      <c r="D313" s="53">
        <v>30042069</v>
      </c>
      <c r="E313" s="47" t="s">
        <v>120</v>
      </c>
      <c r="F313" s="54" t="s">
        <v>97</v>
      </c>
      <c r="G313" s="48" t="s">
        <v>326</v>
      </c>
    </row>
    <row r="314" spans="1:7" s="46" customFormat="1" x14ac:dyDescent="0.25">
      <c r="A314" s="47" t="s">
        <v>185</v>
      </c>
      <c r="B314" s="47">
        <v>20</v>
      </c>
      <c r="C314" s="47"/>
      <c r="D314" s="53">
        <v>90183999</v>
      </c>
      <c r="E314" s="47" t="s">
        <v>120</v>
      </c>
      <c r="F314" s="54" t="s">
        <v>30</v>
      </c>
      <c r="G314" s="48" t="s">
        <v>315</v>
      </c>
    </row>
    <row r="315" spans="1:7" s="46" customFormat="1" x14ac:dyDescent="0.25">
      <c r="A315" s="47" t="s">
        <v>194</v>
      </c>
      <c r="B315" s="47">
        <v>25</v>
      </c>
      <c r="C315" s="47"/>
      <c r="D315" s="53">
        <v>30051090</v>
      </c>
      <c r="E315" s="47" t="s">
        <v>120</v>
      </c>
      <c r="F315" s="54" t="s">
        <v>30</v>
      </c>
      <c r="G315" s="48" t="s">
        <v>329</v>
      </c>
    </row>
    <row r="316" spans="1:7" ht="12.75" x14ac:dyDescent="0.2">
      <c r="A316" s="47" t="s">
        <v>202</v>
      </c>
      <c r="B316" s="47">
        <v>10</v>
      </c>
      <c r="C316" s="47"/>
      <c r="D316" s="53">
        <v>90183929</v>
      </c>
      <c r="E316" s="47" t="s">
        <v>120</v>
      </c>
      <c r="F316" s="54" t="s">
        <v>30</v>
      </c>
      <c r="G316" s="48" t="s">
        <v>344</v>
      </c>
    </row>
    <row r="317" spans="1:7" ht="12.75" x14ac:dyDescent="0.2">
      <c r="A317" s="47" t="s">
        <v>303</v>
      </c>
      <c r="B317" s="47">
        <v>10</v>
      </c>
      <c r="C317" s="47"/>
      <c r="D317" s="53"/>
      <c r="E317" s="47"/>
      <c r="F317" s="54"/>
      <c r="G317" s="48" t="s">
        <v>344</v>
      </c>
    </row>
    <row r="318" spans="1:7" ht="12.75" customHeight="1" x14ac:dyDescent="0.2">
      <c r="A318" s="47" t="s">
        <v>203</v>
      </c>
      <c r="B318" s="48">
        <v>10</v>
      </c>
      <c r="C318" s="51"/>
      <c r="D318" s="48">
        <v>90183929</v>
      </c>
      <c r="E318" s="52" t="s">
        <v>120</v>
      </c>
      <c r="F318" s="48" t="s">
        <v>30</v>
      </c>
      <c r="G318" s="48" t="s">
        <v>344</v>
      </c>
    </row>
    <row r="319" spans="1:7" ht="12.75" customHeight="1" x14ac:dyDescent="0.2">
      <c r="A319" s="47" t="s">
        <v>304</v>
      </c>
      <c r="B319" s="48">
        <v>10</v>
      </c>
      <c r="C319" s="51"/>
      <c r="D319" s="48">
        <v>90183929</v>
      </c>
      <c r="E319" s="52" t="s">
        <v>120</v>
      </c>
      <c r="F319" s="48" t="s">
        <v>30</v>
      </c>
      <c r="G319" s="48" t="s">
        <v>344</v>
      </c>
    </row>
    <row r="320" spans="1:7" ht="12.75" x14ac:dyDescent="0.2">
      <c r="A320" s="47" t="s">
        <v>201</v>
      </c>
      <c r="B320" s="47">
        <v>10</v>
      </c>
      <c r="C320" s="47"/>
      <c r="D320" s="53">
        <v>90183929</v>
      </c>
      <c r="E320" s="47" t="s">
        <v>120</v>
      </c>
      <c r="F320" s="54" t="s">
        <v>30</v>
      </c>
      <c r="G320" s="48" t="s">
        <v>344</v>
      </c>
    </row>
    <row r="321" spans="1:7" ht="12.75" x14ac:dyDescent="0.2">
      <c r="A321" s="47" t="s">
        <v>211</v>
      </c>
      <c r="B321" s="47">
        <v>10</v>
      </c>
      <c r="C321" s="47"/>
      <c r="D321" s="53">
        <v>90183929</v>
      </c>
      <c r="E321" s="47" t="s">
        <v>120</v>
      </c>
      <c r="F321" s="54" t="s">
        <v>30</v>
      </c>
      <c r="G321" s="48" t="s">
        <v>344</v>
      </c>
    </row>
    <row r="322" spans="1:7" ht="12.75" x14ac:dyDescent="0.2">
      <c r="A322" s="47" t="s">
        <v>212</v>
      </c>
      <c r="B322" s="47">
        <v>10</v>
      </c>
      <c r="C322" s="47"/>
      <c r="D322" s="53">
        <v>90183929</v>
      </c>
      <c r="E322" s="47" t="s">
        <v>120</v>
      </c>
      <c r="F322" s="54" t="s">
        <v>30</v>
      </c>
      <c r="G322" s="48" t="s">
        <v>344</v>
      </c>
    </row>
    <row r="323" spans="1:7" ht="12.75" x14ac:dyDescent="0.2">
      <c r="A323" s="47" t="s">
        <v>216</v>
      </c>
      <c r="B323" s="47">
        <v>10</v>
      </c>
      <c r="C323" s="53"/>
      <c r="D323" s="53">
        <v>30044090</v>
      </c>
      <c r="E323" s="47" t="s">
        <v>120</v>
      </c>
      <c r="F323" s="54" t="s">
        <v>97</v>
      </c>
      <c r="G323" s="48" t="s">
        <v>345</v>
      </c>
    </row>
    <row r="324" spans="1:7" ht="12.75" x14ac:dyDescent="0.2">
      <c r="A324" s="56" t="s">
        <v>283</v>
      </c>
      <c r="B324" s="53">
        <v>8</v>
      </c>
      <c r="C324" s="56" t="s">
        <v>291</v>
      </c>
      <c r="D324" s="53">
        <v>20111223001</v>
      </c>
      <c r="E324" s="47" t="s">
        <v>120</v>
      </c>
      <c r="F324" s="48" t="s">
        <v>30</v>
      </c>
      <c r="G324" s="48" t="s">
        <v>315</v>
      </c>
    </row>
    <row r="325" spans="1:7" ht="12.75" x14ac:dyDescent="0.2">
      <c r="A325" s="56" t="s">
        <v>284</v>
      </c>
      <c r="B325" s="53">
        <v>8</v>
      </c>
      <c r="C325" s="56" t="s">
        <v>291</v>
      </c>
      <c r="D325" s="53">
        <v>20111223001</v>
      </c>
      <c r="E325" s="47" t="s">
        <v>120</v>
      </c>
      <c r="F325" s="48" t="s">
        <v>30</v>
      </c>
      <c r="G325" s="48" t="s">
        <v>315</v>
      </c>
    </row>
    <row r="326" spans="1:7" ht="15" customHeight="1" x14ac:dyDescent="0.2">
      <c r="A326" s="47" t="s">
        <v>354</v>
      </c>
      <c r="B326" s="48">
        <v>2</v>
      </c>
      <c r="C326" s="51"/>
      <c r="D326" s="48">
        <v>39231090</v>
      </c>
      <c r="E326" s="52" t="s">
        <v>120</v>
      </c>
      <c r="F326" s="48" t="s">
        <v>30</v>
      </c>
      <c r="G326" s="48" t="s">
        <v>329</v>
      </c>
    </row>
    <row r="327" spans="1:7" ht="15" customHeight="1" x14ac:dyDescent="0.2">
      <c r="A327" s="47" t="s">
        <v>355</v>
      </c>
      <c r="B327" s="48">
        <v>2</v>
      </c>
      <c r="C327" s="51"/>
      <c r="D327" s="48">
        <v>39231090</v>
      </c>
      <c r="E327" s="52" t="s">
        <v>120</v>
      </c>
      <c r="F327" s="48" t="s">
        <v>30</v>
      </c>
      <c r="G327" s="48" t="s">
        <v>329</v>
      </c>
    </row>
  </sheetData>
  <sortState xmlns:xlrd2="http://schemas.microsoft.com/office/spreadsheetml/2017/richdata2" ref="A3:F320">
    <sortCondition ref="A293"/>
  </sortState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E5B5-9A8F-45DE-BE49-60ADD29FE089}">
  <dimension ref="B3:H81"/>
  <sheetViews>
    <sheetView workbookViewId="0">
      <selection activeCell="C18" sqref="C18"/>
    </sheetView>
  </sheetViews>
  <sheetFormatPr defaultRowHeight="15" x14ac:dyDescent="0.25"/>
  <cols>
    <col min="2" max="2" width="95.42578125" bestFit="1" customWidth="1"/>
    <col min="3" max="3" width="14" bestFit="1" customWidth="1"/>
    <col min="4" max="4" width="10.7109375" bestFit="1" customWidth="1"/>
    <col min="5" max="5" width="10.28515625" customWidth="1"/>
    <col min="6" max="7" width="13.5703125" customWidth="1"/>
    <col min="8" max="8" width="14.140625" bestFit="1" customWidth="1"/>
  </cols>
  <sheetData>
    <row r="3" spans="2:8" x14ac:dyDescent="0.25">
      <c r="B3" t="s">
        <v>442</v>
      </c>
      <c r="C3" t="s">
        <v>552</v>
      </c>
      <c r="D3" t="s">
        <v>553</v>
      </c>
      <c r="E3" t="s">
        <v>551</v>
      </c>
      <c r="F3" t="s">
        <v>443</v>
      </c>
      <c r="G3" t="s">
        <v>554</v>
      </c>
      <c r="H3" t="s">
        <v>426</v>
      </c>
    </row>
    <row r="4" spans="2:8" x14ac:dyDescent="0.25">
      <c r="B4" s="30" t="s">
        <v>444</v>
      </c>
      <c r="C4" s="29">
        <v>50018091</v>
      </c>
      <c r="D4" s="32">
        <v>46054</v>
      </c>
      <c r="E4" s="30" t="s">
        <v>445</v>
      </c>
      <c r="F4" s="29">
        <v>16</v>
      </c>
      <c r="G4" s="29"/>
      <c r="H4" s="30" t="s">
        <v>447</v>
      </c>
    </row>
    <row r="5" spans="2:8" x14ac:dyDescent="0.25">
      <c r="B5" s="30" t="s">
        <v>446</v>
      </c>
      <c r="C5" s="29">
        <v>50020182</v>
      </c>
      <c r="D5" s="32">
        <v>46691</v>
      </c>
      <c r="E5" s="29" t="s">
        <v>445</v>
      </c>
      <c r="F5" s="29">
        <v>1</v>
      </c>
      <c r="G5" s="29"/>
      <c r="H5" s="29" t="s">
        <v>447</v>
      </c>
    </row>
    <row r="6" spans="2:8" x14ac:dyDescent="0.25">
      <c r="B6" s="29" t="s">
        <v>449</v>
      </c>
      <c r="C6" s="29">
        <v>50022375</v>
      </c>
      <c r="D6" s="32">
        <v>46752</v>
      </c>
      <c r="E6" s="29" t="s">
        <v>450</v>
      </c>
      <c r="F6" s="29">
        <v>3</v>
      </c>
      <c r="G6" s="29"/>
      <c r="H6" s="29" t="s">
        <v>427</v>
      </c>
    </row>
    <row r="7" spans="2:8" x14ac:dyDescent="0.25">
      <c r="B7" s="30" t="s">
        <v>449</v>
      </c>
      <c r="C7" s="29" t="s">
        <v>450</v>
      </c>
      <c r="D7" s="29" t="s">
        <v>450</v>
      </c>
      <c r="E7" s="30" t="s">
        <v>445</v>
      </c>
      <c r="F7" s="30">
        <v>3</v>
      </c>
      <c r="G7" s="30"/>
      <c r="H7" s="30" t="s">
        <v>428</v>
      </c>
    </row>
    <row r="8" spans="2:8" x14ac:dyDescent="0.25">
      <c r="B8" s="29" t="s">
        <v>451</v>
      </c>
      <c r="C8" s="29">
        <v>2515166</v>
      </c>
      <c r="D8" s="32">
        <v>46569</v>
      </c>
      <c r="E8" s="30" t="s">
        <v>445</v>
      </c>
      <c r="F8" s="30">
        <v>4</v>
      </c>
      <c r="G8" s="30"/>
      <c r="H8" s="30" t="s">
        <v>452</v>
      </c>
    </row>
    <row r="9" spans="2:8" x14ac:dyDescent="0.25">
      <c r="B9" s="30" t="s">
        <v>453</v>
      </c>
      <c r="C9" s="29">
        <v>2425211</v>
      </c>
      <c r="D9" s="32">
        <v>46356</v>
      </c>
      <c r="E9" s="30" t="s">
        <v>445</v>
      </c>
      <c r="F9" s="30">
        <v>1</v>
      </c>
      <c r="G9" s="30"/>
      <c r="H9" s="30" t="s">
        <v>452</v>
      </c>
    </row>
    <row r="10" spans="2:8" x14ac:dyDescent="0.25">
      <c r="B10" s="30" t="s">
        <v>454</v>
      </c>
      <c r="C10" s="29" t="s">
        <v>455</v>
      </c>
      <c r="D10" s="32">
        <v>46784</v>
      </c>
      <c r="E10" s="30" t="s">
        <v>445</v>
      </c>
      <c r="F10" s="30">
        <v>1</v>
      </c>
      <c r="G10" s="30"/>
      <c r="H10" s="30" t="s">
        <v>452</v>
      </c>
    </row>
    <row r="11" spans="2:8" x14ac:dyDescent="0.25">
      <c r="B11" s="29" t="s">
        <v>456</v>
      </c>
      <c r="C11" s="29">
        <v>2448216</v>
      </c>
      <c r="D11" s="32">
        <v>46357</v>
      </c>
      <c r="E11" s="29" t="s">
        <v>445</v>
      </c>
      <c r="F11" s="29">
        <v>12</v>
      </c>
      <c r="G11" s="29"/>
      <c r="H11" s="29" t="s">
        <v>447</v>
      </c>
    </row>
    <row r="12" spans="2:8" x14ac:dyDescent="0.25">
      <c r="B12" s="29" t="s">
        <v>457</v>
      </c>
      <c r="C12" s="29">
        <v>24070177</v>
      </c>
      <c r="D12" s="32">
        <v>46174</v>
      </c>
      <c r="E12" s="29" t="s">
        <v>445</v>
      </c>
      <c r="F12" s="29">
        <v>10</v>
      </c>
      <c r="G12" s="29"/>
      <c r="H12" s="29" t="s">
        <v>447</v>
      </c>
    </row>
    <row r="13" spans="2:8" x14ac:dyDescent="0.25">
      <c r="B13" s="29" t="s">
        <v>458</v>
      </c>
      <c r="C13" s="29" t="s">
        <v>459</v>
      </c>
      <c r="D13" s="32">
        <v>46388</v>
      </c>
      <c r="E13" s="29" t="s">
        <v>445</v>
      </c>
      <c r="F13" s="29">
        <f>1+19</f>
        <v>20</v>
      </c>
      <c r="G13" s="29"/>
      <c r="H13" s="29" t="s">
        <v>430</v>
      </c>
    </row>
    <row r="14" spans="2:8" x14ac:dyDescent="0.25">
      <c r="B14" s="29" t="s">
        <v>460</v>
      </c>
      <c r="C14" s="29" t="s">
        <v>461</v>
      </c>
      <c r="D14" s="32">
        <v>46023</v>
      </c>
      <c r="E14" s="29" t="s">
        <v>445</v>
      </c>
      <c r="F14" s="29">
        <v>1</v>
      </c>
      <c r="G14" s="29"/>
      <c r="H14" s="29" t="s">
        <v>447</v>
      </c>
    </row>
    <row r="15" spans="2:8" x14ac:dyDescent="0.25">
      <c r="B15" s="29" t="s">
        <v>462</v>
      </c>
      <c r="C15" s="29">
        <v>50014479</v>
      </c>
      <c r="D15" s="32">
        <v>46143</v>
      </c>
      <c r="E15" s="29" t="s">
        <v>445</v>
      </c>
      <c r="F15" s="29">
        <v>20</v>
      </c>
      <c r="G15" s="29"/>
      <c r="H15" s="29" t="s">
        <v>447</v>
      </c>
    </row>
    <row r="16" spans="2:8" x14ac:dyDescent="0.25">
      <c r="B16" s="29" t="s">
        <v>463</v>
      </c>
      <c r="C16" s="29" t="s">
        <v>464</v>
      </c>
      <c r="D16" s="32">
        <v>46266</v>
      </c>
      <c r="E16" s="29" t="s">
        <v>445</v>
      </c>
      <c r="F16" s="29">
        <v>20</v>
      </c>
      <c r="G16" s="29"/>
      <c r="H16" s="29" t="s">
        <v>447</v>
      </c>
    </row>
    <row r="17" spans="2:8" x14ac:dyDescent="0.25">
      <c r="B17" s="29" t="s">
        <v>465</v>
      </c>
      <c r="C17" s="29" t="s">
        <v>466</v>
      </c>
      <c r="D17" s="32">
        <v>46235</v>
      </c>
      <c r="E17" s="29" t="s">
        <v>445</v>
      </c>
      <c r="F17" s="29">
        <v>9</v>
      </c>
      <c r="G17" s="29"/>
      <c r="H17" s="29" t="s">
        <v>447</v>
      </c>
    </row>
    <row r="18" spans="2:8" x14ac:dyDescent="0.25">
      <c r="B18" s="29" t="s">
        <v>467</v>
      </c>
      <c r="C18" s="29" t="s">
        <v>468</v>
      </c>
      <c r="D18" s="32">
        <v>46508</v>
      </c>
      <c r="E18" s="29" t="s">
        <v>445</v>
      </c>
      <c r="F18" s="29">
        <v>20</v>
      </c>
      <c r="G18" s="29"/>
      <c r="H18" s="29" t="s">
        <v>447</v>
      </c>
    </row>
    <row r="19" spans="2:8" x14ac:dyDescent="0.25">
      <c r="B19" s="29" t="s">
        <v>469</v>
      </c>
      <c r="C19" s="29">
        <v>10577</v>
      </c>
      <c r="D19" s="32">
        <v>46419</v>
      </c>
      <c r="E19" s="29" t="s">
        <v>445</v>
      </c>
      <c r="F19" s="29">
        <v>12</v>
      </c>
      <c r="G19" s="29"/>
      <c r="H19" s="29" t="s">
        <v>447</v>
      </c>
    </row>
    <row r="20" spans="2:8" x14ac:dyDescent="0.25">
      <c r="B20" s="29" t="s">
        <v>451</v>
      </c>
      <c r="C20" s="29" t="s">
        <v>470</v>
      </c>
      <c r="D20" s="32">
        <v>46447</v>
      </c>
      <c r="E20" s="29" t="s">
        <v>445</v>
      </c>
      <c r="F20" s="29">
        <v>49</v>
      </c>
      <c r="G20" s="29"/>
      <c r="H20" s="29" t="s">
        <v>447</v>
      </c>
    </row>
    <row r="21" spans="2:8" x14ac:dyDescent="0.25">
      <c r="B21" s="29" t="s">
        <v>471</v>
      </c>
      <c r="C21" s="29">
        <v>25050480</v>
      </c>
      <c r="D21" s="32">
        <v>46508</v>
      </c>
      <c r="E21" s="29" t="s">
        <v>445</v>
      </c>
      <c r="F21" s="29">
        <f>3+50</f>
        <v>53</v>
      </c>
      <c r="G21" s="29"/>
      <c r="H21" s="29" t="s">
        <v>430</v>
      </c>
    </row>
    <row r="22" spans="2:8" x14ac:dyDescent="0.25">
      <c r="B22" s="29" t="s">
        <v>472</v>
      </c>
      <c r="C22" s="29" t="s">
        <v>473</v>
      </c>
      <c r="D22" s="32">
        <v>46296</v>
      </c>
      <c r="E22" s="29" t="s">
        <v>445</v>
      </c>
      <c r="F22" s="29">
        <v>45</v>
      </c>
      <c r="G22" s="29"/>
      <c r="H22" s="29" t="s">
        <v>447</v>
      </c>
    </row>
    <row r="23" spans="2:8" x14ac:dyDescent="0.25">
      <c r="B23" s="29" t="s">
        <v>474</v>
      </c>
      <c r="C23" s="29">
        <v>50025174</v>
      </c>
      <c r="D23" s="32">
        <v>46784</v>
      </c>
      <c r="E23" s="29" t="s">
        <v>445</v>
      </c>
      <c r="F23" s="29">
        <v>12</v>
      </c>
      <c r="G23" s="29"/>
      <c r="H23" s="29" t="s">
        <v>447</v>
      </c>
    </row>
    <row r="24" spans="2:8" x14ac:dyDescent="0.25">
      <c r="B24" s="29" t="s">
        <v>475</v>
      </c>
      <c r="C24" s="29" t="s">
        <v>476</v>
      </c>
      <c r="D24" s="32">
        <v>46235</v>
      </c>
      <c r="E24" s="29" t="s">
        <v>445</v>
      </c>
      <c r="F24" s="29">
        <v>12</v>
      </c>
      <c r="G24" s="29"/>
      <c r="H24" s="29" t="s">
        <v>447</v>
      </c>
    </row>
    <row r="25" spans="2:8" x14ac:dyDescent="0.25">
      <c r="B25" s="29" t="s">
        <v>477</v>
      </c>
      <c r="C25" s="29">
        <v>5030150</v>
      </c>
      <c r="D25" s="32">
        <v>46447</v>
      </c>
      <c r="E25" s="29" t="s">
        <v>445</v>
      </c>
      <c r="F25" s="29">
        <v>12</v>
      </c>
      <c r="G25" s="29"/>
      <c r="H25" s="29" t="s">
        <v>447</v>
      </c>
    </row>
    <row r="26" spans="2:8" x14ac:dyDescent="0.25">
      <c r="B26" s="29" t="s">
        <v>478</v>
      </c>
      <c r="C26" s="29" t="s">
        <v>479</v>
      </c>
      <c r="D26" s="32">
        <v>46204</v>
      </c>
      <c r="E26" s="29" t="s">
        <v>445</v>
      </c>
      <c r="F26" s="29">
        <v>22</v>
      </c>
      <c r="G26" s="29"/>
      <c r="H26" s="29" t="s">
        <v>447</v>
      </c>
    </row>
    <row r="27" spans="2:8" x14ac:dyDescent="0.25">
      <c r="B27" s="29" t="s">
        <v>480</v>
      </c>
      <c r="C27" s="29">
        <v>50023052</v>
      </c>
      <c r="D27" s="32">
        <v>46357</v>
      </c>
      <c r="E27" s="29" t="s">
        <v>445</v>
      </c>
      <c r="F27" s="29">
        <v>13</v>
      </c>
      <c r="G27" s="29"/>
      <c r="H27" s="29" t="s">
        <v>447</v>
      </c>
    </row>
    <row r="28" spans="2:8" x14ac:dyDescent="0.25">
      <c r="B28" s="29" t="s">
        <v>481</v>
      </c>
      <c r="C28" s="29">
        <v>50024029</v>
      </c>
      <c r="D28" s="32">
        <v>46753</v>
      </c>
      <c r="E28" s="29" t="s">
        <v>445</v>
      </c>
      <c r="F28" s="29">
        <v>3</v>
      </c>
      <c r="G28" s="29"/>
      <c r="H28" s="29" t="s">
        <v>447</v>
      </c>
    </row>
    <row r="29" spans="2:8" x14ac:dyDescent="0.25">
      <c r="B29" s="30" t="s">
        <v>482</v>
      </c>
      <c r="C29" s="30" t="s">
        <v>483</v>
      </c>
      <c r="D29" s="32">
        <v>46296</v>
      </c>
      <c r="E29" s="29" t="s">
        <v>445</v>
      </c>
      <c r="F29" s="29">
        <v>33</v>
      </c>
      <c r="G29" s="29"/>
      <c r="H29" s="29" t="s">
        <v>429</v>
      </c>
    </row>
    <row r="30" spans="2:8" x14ac:dyDescent="0.25">
      <c r="B30" s="29" t="s">
        <v>484</v>
      </c>
      <c r="C30" s="29">
        <v>50024334</v>
      </c>
      <c r="D30" s="32">
        <v>46419</v>
      </c>
      <c r="E30" s="29" t="s">
        <v>485</v>
      </c>
      <c r="F30" s="29">
        <v>44</v>
      </c>
      <c r="G30" s="29"/>
      <c r="H30" s="29" t="s">
        <v>429</v>
      </c>
    </row>
    <row r="31" spans="2:8" x14ac:dyDescent="0.25">
      <c r="B31" s="29" t="s">
        <v>486</v>
      </c>
      <c r="C31" s="29" t="s">
        <v>487</v>
      </c>
      <c r="D31" s="32">
        <v>46356</v>
      </c>
      <c r="E31" s="29" t="s">
        <v>485</v>
      </c>
      <c r="F31" s="29">
        <v>9</v>
      </c>
      <c r="G31" s="29"/>
      <c r="H31" s="29" t="s">
        <v>429</v>
      </c>
    </row>
    <row r="32" spans="2:8" x14ac:dyDescent="0.25">
      <c r="B32" s="30" t="s">
        <v>488</v>
      </c>
      <c r="C32" s="29" t="s">
        <v>489</v>
      </c>
      <c r="D32" s="32">
        <v>46419</v>
      </c>
      <c r="E32" s="30" t="s">
        <v>445</v>
      </c>
      <c r="F32" s="30">
        <v>43</v>
      </c>
      <c r="G32" s="30"/>
      <c r="H32" s="30" t="s">
        <v>429</v>
      </c>
    </row>
    <row r="33" spans="2:8" x14ac:dyDescent="0.25">
      <c r="B33" s="30" t="s">
        <v>490</v>
      </c>
      <c r="C33" s="29" t="s">
        <v>491</v>
      </c>
      <c r="D33" s="32">
        <v>46388</v>
      </c>
      <c r="E33" s="30" t="s">
        <v>445</v>
      </c>
      <c r="F33" s="30">
        <f>1+34</f>
        <v>35</v>
      </c>
      <c r="G33" s="30"/>
      <c r="H33" s="30" t="s">
        <v>429</v>
      </c>
    </row>
    <row r="34" spans="2:8" x14ac:dyDescent="0.25">
      <c r="B34" s="30" t="s">
        <v>492</v>
      </c>
      <c r="C34" s="29">
        <v>50021506</v>
      </c>
      <c r="D34" s="32">
        <v>46692</v>
      </c>
      <c r="E34" s="30" t="s">
        <v>445</v>
      </c>
      <c r="F34" s="30">
        <v>10</v>
      </c>
      <c r="G34" s="30"/>
      <c r="H34" s="30" t="s">
        <v>429</v>
      </c>
    </row>
    <row r="35" spans="2:8" x14ac:dyDescent="0.25">
      <c r="B35" s="30" t="s">
        <v>493</v>
      </c>
      <c r="C35" s="29" t="s">
        <v>494</v>
      </c>
      <c r="D35" s="32">
        <v>46266</v>
      </c>
      <c r="E35" s="30" t="s">
        <v>445</v>
      </c>
      <c r="F35" s="30">
        <v>15</v>
      </c>
      <c r="G35" s="30"/>
      <c r="H35" s="30" t="s">
        <v>429</v>
      </c>
    </row>
    <row r="36" spans="2:8" x14ac:dyDescent="0.25">
      <c r="B36" s="29" t="s">
        <v>495</v>
      </c>
      <c r="C36" s="29">
        <v>50025872</v>
      </c>
      <c r="D36" s="32">
        <v>46447</v>
      </c>
      <c r="E36" s="29" t="s">
        <v>445</v>
      </c>
      <c r="F36" s="29">
        <v>9</v>
      </c>
      <c r="G36" s="29"/>
      <c r="H36" s="29" t="s">
        <v>429</v>
      </c>
    </row>
    <row r="37" spans="2:8" x14ac:dyDescent="0.25">
      <c r="B37" s="29" t="s">
        <v>496</v>
      </c>
      <c r="C37" s="29">
        <v>50028182</v>
      </c>
      <c r="D37" s="32">
        <v>46508</v>
      </c>
      <c r="E37" s="29" t="s">
        <v>445</v>
      </c>
      <c r="F37" s="29">
        <v>15</v>
      </c>
      <c r="G37" s="29"/>
      <c r="H37" s="29" t="s">
        <v>429</v>
      </c>
    </row>
    <row r="38" spans="2:8" x14ac:dyDescent="0.25">
      <c r="B38" s="29" t="s">
        <v>497</v>
      </c>
      <c r="C38" s="29" t="s">
        <v>498</v>
      </c>
      <c r="D38" s="32">
        <v>46447</v>
      </c>
      <c r="E38" s="29" t="s">
        <v>445</v>
      </c>
      <c r="F38" s="29">
        <v>10</v>
      </c>
      <c r="G38" s="29"/>
      <c r="H38" s="29" t="s">
        <v>429</v>
      </c>
    </row>
    <row r="39" spans="2:8" x14ac:dyDescent="0.25">
      <c r="B39" s="29" t="s">
        <v>499</v>
      </c>
      <c r="C39" s="29" t="s">
        <v>500</v>
      </c>
      <c r="D39" s="32">
        <v>46296</v>
      </c>
      <c r="E39" s="29" t="s">
        <v>445</v>
      </c>
      <c r="F39" s="29">
        <v>17</v>
      </c>
      <c r="G39" s="29"/>
      <c r="H39" s="29" t="s">
        <v>429</v>
      </c>
    </row>
    <row r="40" spans="2:8" x14ac:dyDescent="0.25">
      <c r="B40" s="30" t="s">
        <v>501</v>
      </c>
      <c r="C40" s="30">
        <v>25060122</v>
      </c>
      <c r="D40" s="32">
        <v>46508</v>
      </c>
      <c r="E40" s="29" t="s">
        <v>445</v>
      </c>
      <c r="F40" s="29">
        <v>20</v>
      </c>
      <c r="G40" s="29"/>
      <c r="H40" s="29" t="s">
        <v>429</v>
      </c>
    </row>
    <row r="41" spans="2:8" x14ac:dyDescent="0.25">
      <c r="B41" s="29" t="s">
        <v>502</v>
      </c>
      <c r="C41" s="29">
        <v>40709684</v>
      </c>
      <c r="D41" s="32">
        <v>46326</v>
      </c>
      <c r="E41" s="29" t="s">
        <v>445</v>
      </c>
      <c r="F41" s="29">
        <v>10</v>
      </c>
      <c r="G41" s="29"/>
      <c r="H41" s="29" t="s">
        <v>429</v>
      </c>
    </row>
    <row r="42" spans="2:8" x14ac:dyDescent="0.25">
      <c r="B42" s="29" t="s">
        <v>503</v>
      </c>
      <c r="C42" s="29" t="s">
        <v>504</v>
      </c>
      <c r="D42" s="32">
        <v>46143</v>
      </c>
      <c r="E42" s="29" t="s">
        <v>485</v>
      </c>
      <c r="F42" s="29">
        <v>100</v>
      </c>
      <c r="G42" s="29"/>
      <c r="H42" s="29" t="s">
        <v>429</v>
      </c>
    </row>
    <row r="43" spans="2:8" s="31" customFormat="1" ht="12.75" x14ac:dyDescent="0.25">
      <c r="B43" s="38" t="s">
        <v>505</v>
      </c>
      <c r="C43" s="30">
        <v>50017721</v>
      </c>
      <c r="D43" s="37">
        <v>46054</v>
      </c>
      <c r="E43" s="30" t="s">
        <v>506</v>
      </c>
      <c r="F43" s="30">
        <v>3</v>
      </c>
      <c r="G43" s="33"/>
      <c r="H43" s="33" t="s">
        <v>507</v>
      </c>
    </row>
    <row r="44" spans="2:8" s="31" customFormat="1" ht="12.75" x14ac:dyDescent="0.25">
      <c r="B44" s="38" t="s">
        <v>505</v>
      </c>
      <c r="C44" s="30">
        <v>50024029</v>
      </c>
      <c r="D44" s="37">
        <v>46753</v>
      </c>
      <c r="E44" s="30" t="s">
        <v>506</v>
      </c>
      <c r="F44" s="30">
        <v>1</v>
      </c>
      <c r="G44" s="33"/>
      <c r="H44" s="33" t="s">
        <v>507</v>
      </c>
    </row>
    <row r="45" spans="2:8" s="31" customFormat="1" ht="12.75" x14ac:dyDescent="0.25">
      <c r="B45" s="38" t="s">
        <v>508</v>
      </c>
      <c r="C45" s="30">
        <v>2448593</v>
      </c>
      <c r="D45" s="37">
        <v>46357</v>
      </c>
      <c r="E45" s="30" t="s">
        <v>506</v>
      </c>
      <c r="F45" s="30">
        <v>2</v>
      </c>
      <c r="G45" s="33"/>
      <c r="H45" s="33" t="s">
        <v>507</v>
      </c>
    </row>
    <row r="46" spans="2:8" s="31" customFormat="1" ht="12.75" x14ac:dyDescent="0.25">
      <c r="B46" s="38" t="s">
        <v>509</v>
      </c>
      <c r="C46" s="30">
        <v>25050039</v>
      </c>
      <c r="D46" s="37">
        <v>46514</v>
      </c>
      <c r="E46" s="30" t="s">
        <v>506</v>
      </c>
      <c r="F46" s="30">
        <v>1</v>
      </c>
      <c r="G46" s="33"/>
      <c r="H46" s="33" t="s">
        <v>507</v>
      </c>
    </row>
    <row r="47" spans="2:8" s="31" customFormat="1" ht="12.75" x14ac:dyDescent="0.25">
      <c r="B47" s="38" t="s">
        <v>510</v>
      </c>
      <c r="C47" s="30">
        <v>50018091</v>
      </c>
      <c r="D47" s="37">
        <v>46054</v>
      </c>
      <c r="E47" s="30" t="s">
        <v>506</v>
      </c>
      <c r="F47" s="30">
        <v>6</v>
      </c>
      <c r="G47" s="33"/>
      <c r="H47" s="33" t="s">
        <v>507</v>
      </c>
    </row>
    <row r="48" spans="2:8" s="31" customFormat="1" ht="12.75" x14ac:dyDescent="0.25">
      <c r="B48" s="39" t="s">
        <v>511</v>
      </c>
      <c r="C48" s="30">
        <v>50020182</v>
      </c>
      <c r="D48" s="37">
        <v>46661</v>
      </c>
      <c r="E48" s="30" t="s">
        <v>445</v>
      </c>
      <c r="F48" s="30">
        <v>1</v>
      </c>
      <c r="G48" s="33"/>
      <c r="H48" s="33" t="s">
        <v>507</v>
      </c>
    </row>
    <row r="49" spans="2:8" s="31" customFormat="1" ht="12.75" x14ac:dyDescent="0.25">
      <c r="B49" s="39" t="s">
        <v>512</v>
      </c>
      <c r="C49" s="40" t="s">
        <v>494</v>
      </c>
      <c r="D49" s="41">
        <v>46266</v>
      </c>
      <c r="E49" s="40" t="s">
        <v>506</v>
      </c>
      <c r="F49" s="40">
        <v>1</v>
      </c>
      <c r="G49" s="42"/>
      <c r="H49" s="42" t="s">
        <v>507</v>
      </c>
    </row>
    <row r="50" spans="2:8" s="31" customFormat="1" ht="12.75" x14ac:dyDescent="0.25">
      <c r="B50" s="39" t="s">
        <v>513</v>
      </c>
      <c r="C50" s="30" t="s">
        <v>514</v>
      </c>
      <c r="D50" s="37">
        <v>46327</v>
      </c>
      <c r="E50" s="30" t="s">
        <v>506</v>
      </c>
      <c r="F50" s="30">
        <v>6</v>
      </c>
      <c r="G50" s="33"/>
      <c r="H50" s="33" t="s">
        <v>507</v>
      </c>
    </row>
    <row r="51" spans="2:8" s="31" customFormat="1" ht="12.75" x14ac:dyDescent="0.25">
      <c r="B51" s="38" t="s">
        <v>515</v>
      </c>
      <c r="C51" s="30">
        <v>2504525</v>
      </c>
      <c r="D51" s="37">
        <v>46419</v>
      </c>
      <c r="E51" s="30" t="s">
        <v>506</v>
      </c>
      <c r="F51" s="30">
        <v>5</v>
      </c>
      <c r="G51" s="33"/>
      <c r="H51" s="33" t="s">
        <v>507</v>
      </c>
    </row>
    <row r="52" spans="2:8" s="31" customFormat="1" ht="12.75" x14ac:dyDescent="0.25">
      <c r="B52" s="39" t="s">
        <v>516</v>
      </c>
      <c r="C52" s="40">
        <v>50028182</v>
      </c>
      <c r="D52" s="41">
        <v>46508</v>
      </c>
      <c r="E52" s="40" t="s">
        <v>506</v>
      </c>
      <c r="F52" s="40">
        <v>1</v>
      </c>
      <c r="G52" s="42"/>
      <c r="H52" s="42" t="s">
        <v>507</v>
      </c>
    </row>
    <row r="53" spans="2:8" s="31" customFormat="1" ht="12.75" x14ac:dyDescent="0.25">
      <c r="B53" s="39" t="s">
        <v>517</v>
      </c>
      <c r="C53" s="30">
        <v>25050480</v>
      </c>
      <c r="D53" s="37">
        <v>46508</v>
      </c>
      <c r="E53" s="30" t="s">
        <v>506</v>
      </c>
      <c r="F53" s="30">
        <v>1</v>
      </c>
      <c r="G53" s="33"/>
      <c r="H53" s="33" t="s">
        <v>507</v>
      </c>
    </row>
    <row r="54" spans="2:8" s="31" customFormat="1" ht="12.75" x14ac:dyDescent="0.25">
      <c r="B54" s="39" t="s">
        <v>518</v>
      </c>
      <c r="C54" s="30" t="s">
        <v>519</v>
      </c>
      <c r="D54" s="37">
        <v>46478</v>
      </c>
      <c r="E54" s="30" t="s">
        <v>506</v>
      </c>
      <c r="F54" s="30">
        <v>4</v>
      </c>
      <c r="G54" s="33"/>
      <c r="H54" s="33" t="s">
        <v>507</v>
      </c>
    </row>
    <row r="55" spans="2:8" s="31" customFormat="1" ht="12.75" x14ac:dyDescent="0.25">
      <c r="B55" s="39" t="s">
        <v>520</v>
      </c>
      <c r="C55" s="30">
        <v>2448216</v>
      </c>
      <c r="D55" s="37">
        <v>46357</v>
      </c>
      <c r="E55" s="30" t="s">
        <v>506</v>
      </c>
      <c r="F55" s="30">
        <v>3</v>
      </c>
      <c r="G55" s="33"/>
      <c r="H55" s="33" t="s">
        <v>507</v>
      </c>
    </row>
    <row r="56" spans="2:8" s="31" customFormat="1" ht="12.75" x14ac:dyDescent="0.25">
      <c r="B56" s="39" t="s">
        <v>521</v>
      </c>
      <c r="C56" s="40">
        <v>40709684</v>
      </c>
      <c r="D56" s="41">
        <v>46296</v>
      </c>
      <c r="E56" s="40" t="s">
        <v>506</v>
      </c>
      <c r="F56" s="40">
        <v>2</v>
      </c>
      <c r="G56" s="42"/>
      <c r="H56" s="42" t="s">
        <v>507</v>
      </c>
    </row>
    <row r="57" spans="2:8" s="31" customFormat="1" ht="12.75" x14ac:dyDescent="0.25">
      <c r="B57" s="39" t="s">
        <v>522</v>
      </c>
      <c r="C57" s="40" t="s">
        <v>500</v>
      </c>
      <c r="D57" s="41">
        <v>46296</v>
      </c>
      <c r="E57" s="40" t="s">
        <v>506</v>
      </c>
      <c r="F57" s="40">
        <v>1</v>
      </c>
      <c r="G57" s="42"/>
      <c r="H57" s="42" t="s">
        <v>507</v>
      </c>
    </row>
    <row r="58" spans="2:8" s="31" customFormat="1" ht="12.75" x14ac:dyDescent="0.25">
      <c r="B58" s="39" t="s">
        <v>523</v>
      </c>
      <c r="C58" s="40" t="s">
        <v>466</v>
      </c>
      <c r="D58" s="41">
        <v>46235</v>
      </c>
      <c r="E58" s="40" t="s">
        <v>506</v>
      </c>
      <c r="F58" s="40">
        <v>1</v>
      </c>
      <c r="G58" s="42"/>
      <c r="H58" s="42" t="s">
        <v>507</v>
      </c>
    </row>
    <row r="59" spans="2:8" s="31" customFormat="1" ht="12.75" x14ac:dyDescent="0.25">
      <c r="B59" s="39" t="s">
        <v>524</v>
      </c>
      <c r="C59" s="40" t="s">
        <v>468</v>
      </c>
      <c r="D59" s="41">
        <v>46508</v>
      </c>
      <c r="E59" s="40" t="s">
        <v>506</v>
      </c>
      <c r="F59" s="40">
        <v>1</v>
      </c>
      <c r="G59" s="42"/>
      <c r="H59" s="42" t="s">
        <v>507</v>
      </c>
    </row>
    <row r="60" spans="2:8" s="31" customFormat="1" ht="12.75" x14ac:dyDescent="0.25">
      <c r="B60" s="39" t="s">
        <v>525</v>
      </c>
      <c r="C60" s="40">
        <v>24070177</v>
      </c>
      <c r="D60" s="41">
        <v>46174</v>
      </c>
      <c r="E60" s="40" t="s">
        <v>506</v>
      </c>
      <c r="F60" s="40">
        <v>1</v>
      </c>
      <c r="G60" s="42"/>
      <c r="H60" s="42" t="s">
        <v>507</v>
      </c>
    </row>
    <row r="61" spans="2:8" s="31" customFormat="1" ht="12.75" x14ac:dyDescent="0.25">
      <c r="B61" s="39" t="s">
        <v>526</v>
      </c>
      <c r="C61" s="40" t="s">
        <v>527</v>
      </c>
      <c r="D61" s="41">
        <v>46204</v>
      </c>
      <c r="E61" s="40" t="s">
        <v>506</v>
      </c>
      <c r="F61" s="40">
        <v>1</v>
      </c>
      <c r="G61" s="42"/>
      <c r="H61" s="42" t="s">
        <v>507</v>
      </c>
    </row>
    <row r="62" spans="2:8" s="31" customFormat="1" ht="12.75" x14ac:dyDescent="0.25">
      <c r="B62" s="39" t="s">
        <v>528</v>
      </c>
      <c r="C62" s="40" t="s">
        <v>498</v>
      </c>
      <c r="D62" s="41">
        <v>46447</v>
      </c>
      <c r="E62" s="40" t="s">
        <v>506</v>
      </c>
      <c r="F62" s="40">
        <v>1</v>
      </c>
      <c r="G62" s="42"/>
      <c r="H62" s="42" t="s">
        <v>507</v>
      </c>
    </row>
    <row r="63" spans="2:8" s="31" customFormat="1" ht="12.75" x14ac:dyDescent="0.25">
      <c r="B63" s="39" t="s">
        <v>529</v>
      </c>
      <c r="C63" s="40">
        <v>50014479</v>
      </c>
      <c r="D63" s="41">
        <v>46143</v>
      </c>
      <c r="E63" s="40" t="s">
        <v>506</v>
      </c>
      <c r="F63" s="40">
        <v>1</v>
      </c>
      <c r="G63" s="42"/>
      <c r="H63" s="42" t="s">
        <v>507</v>
      </c>
    </row>
    <row r="64" spans="2:8" s="31" customFormat="1" ht="12.75" x14ac:dyDescent="0.25">
      <c r="B64" s="39" t="s">
        <v>530</v>
      </c>
      <c r="C64" s="40" t="s">
        <v>464</v>
      </c>
      <c r="D64" s="41">
        <v>46266</v>
      </c>
      <c r="E64" s="40" t="s">
        <v>506</v>
      </c>
      <c r="F64" s="40">
        <v>1</v>
      </c>
      <c r="G64" s="42"/>
      <c r="H64" s="42" t="s">
        <v>507</v>
      </c>
    </row>
    <row r="65" spans="2:8" s="31" customFormat="1" ht="12.75" x14ac:dyDescent="0.25">
      <c r="B65" s="39" t="s">
        <v>531</v>
      </c>
      <c r="C65" s="40" t="s">
        <v>470</v>
      </c>
      <c r="D65" s="41">
        <v>46447</v>
      </c>
      <c r="E65" s="40" t="s">
        <v>506</v>
      </c>
      <c r="F65" s="40">
        <v>1</v>
      </c>
      <c r="G65" s="42"/>
      <c r="H65" s="42" t="s">
        <v>507</v>
      </c>
    </row>
    <row r="66" spans="2:8" s="31" customFormat="1" ht="12.75" x14ac:dyDescent="0.25">
      <c r="B66" s="39" t="s">
        <v>532</v>
      </c>
      <c r="C66" s="40">
        <v>25030150</v>
      </c>
      <c r="D66" s="41">
        <v>46447</v>
      </c>
      <c r="E66" s="40" t="s">
        <v>506</v>
      </c>
      <c r="F66" s="40">
        <v>1</v>
      </c>
      <c r="G66" s="42"/>
      <c r="H66" s="42" t="s">
        <v>507</v>
      </c>
    </row>
    <row r="67" spans="2:8" s="31" customFormat="1" ht="12.75" x14ac:dyDescent="0.25">
      <c r="B67" s="39" t="s">
        <v>533</v>
      </c>
      <c r="C67" s="40" t="s">
        <v>491</v>
      </c>
      <c r="D67" s="41">
        <v>46388</v>
      </c>
      <c r="E67" s="40" t="s">
        <v>506</v>
      </c>
      <c r="F67" s="40">
        <v>1</v>
      </c>
      <c r="G67" s="42"/>
      <c r="H67" s="42" t="s">
        <v>507</v>
      </c>
    </row>
    <row r="68" spans="2:8" s="31" customFormat="1" ht="12.75" x14ac:dyDescent="0.25">
      <c r="B68" s="39" t="s">
        <v>534</v>
      </c>
      <c r="C68" s="40" t="s">
        <v>476</v>
      </c>
      <c r="D68" s="41">
        <v>46235</v>
      </c>
      <c r="E68" s="40" t="s">
        <v>506</v>
      </c>
      <c r="F68" s="40">
        <v>1</v>
      </c>
      <c r="G68" s="42"/>
      <c r="H68" s="42" t="s">
        <v>507</v>
      </c>
    </row>
    <row r="69" spans="2:8" s="31" customFormat="1" ht="12.75" x14ac:dyDescent="0.25">
      <c r="B69" s="39" t="s">
        <v>535</v>
      </c>
      <c r="C69" s="40">
        <v>50024334</v>
      </c>
      <c r="D69" s="41">
        <v>46419</v>
      </c>
      <c r="E69" s="40" t="s">
        <v>506</v>
      </c>
      <c r="F69" s="40">
        <v>2</v>
      </c>
      <c r="G69" s="42"/>
      <c r="H69" s="42" t="s">
        <v>507</v>
      </c>
    </row>
    <row r="70" spans="2:8" s="31" customFormat="1" ht="12.75" x14ac:dyDescent="0.25">
      <c r="B70" s="39" t="s">
        <v>536</v>
      </c>
      <c r="C70" s="40">
        <v>50025872</v>
      </c>
      <c r="D70" s="41">
        <v>46447</v>
      </c>
      <c r="E70" s="40" t="s">
        <v>506</v>
      </c>
      <c r="F70" s="40">
        <v>1</v>
      </c>
      <c r="G70" s="42"/>
      <c r="H70" s="42" t="s">
        <v>507</v>
      </c>
    </row>
    <row r="71" spans="2:8" s="31" customFormat="1" ht="12.75" x14ac:dyDescent="0.25">
      <c r="B71" s="39" t="s">
        <v>537</v>
      </c>
      <c r="C71" s="40">
        <v>50024506</v>
      </c>
      <c r="D71" s="41">
        <v>46692</v>
      </c>
      <c r="E71" s="40" t="s">
        <v>506</v>
      </c>
      <c r="F71" s="40">
        <v>1</v>
      </c>
      <c r="G71" s="42"/>
      <c r="H71" s="42" t="s">
        <v>507</v>
      </c>
    </row>
    <row r="72" spans="2:8" s="31" customFormat="1" ht="12.75" x14ac:dyDescent="0.25">
      <c r="B72" s="39" t="s">
        <v>538</v>
      </c>
      <c r="C72" s="40" t="s">
        <v>539</v>
      </c>
      <c r="D72" s="41">
        <v>46296</v>
      </c>
      <c r="E72" s="40" t="s">
        <v>506</v>
      </c>
      <c r="F72" s="40">
        <v>1</v>
      </c>
      <c r="G72" s="42"/>
      <c r="H72" s="42" t="s">
        <v>507</v>
      </c>
    </row>
    <row r="73" spans="2:8" s="31" customFormat="1" ht="12.75" x14ac:dyDescent="0.25">
      <c r="B73" s="39" t="s">
        <v>540</v>
      </c>
      <c r="C73" s="40" t="s">
        <v>541</v>
      </c>
      <c r="D73" s="41">
        <v>46388</v>
      </c>
      <c r="E73" s="40" t="s">
        <v>506</v>
      </c>
      <c r="F73" s="40">
        <v>1</v>
      </c>
      <c r="G73" s="42"/>
      <c r="H73" s="42" t="s">
        <v>507</v>
      </c>
    </row>
    <row r="74" spans="2:8" s="31" customFormat="1" ht="12.75" x14ac:dyDescent="0.25">
      <c r="B74" s="39" t="s">
        <v>542</v>
      </c>
      <c r="C74" s="40">
        <v>50025174</v>
      </c>
      <c r="D74" s="41">
        <v>46784</v>
      </c>
      <c r="E74" s="40" t="s">
        <v>506</v>
      </c>
      <c r="F74" s="40">
        <v>1</v>
      </c>
      <c r="G74" s="42"/>
      <c r="H74" s="42" t="s">
        <v>507</v>
      </c>
    </row>
    <row r="75" spans="2:8" s="31" customFormat="1" ht="12.75" x14ac:dyDescent="0.25">
      <c r="B75" s="39" t="s">
        <v>543</v>
      </c>
      <c r="C75" s="40" t="s">
        <v>473</v>
      </c>
      <c r="D75" s="41">
        <v>46296</v>
      </c>
      <c r="E75" s="40" t="s">
        <v>506</v>
      </c>
      <c r="F75" s="40">
        <v>1</v>
      </c>
      <c r="G75" s="42"/>
      <c r="H75" s="42" t="s">
        <v>507</v>
      </c>
    </row>
    <row r="76" spans="2:8" s="31" customFormat="1" ht="12.75" x14ac:dyDescent="0.25">
      <c r="B76" s="39" t="s">
        <v>544</v>
      </c>
      <c r="C76" s="40" t="s">
        <v>504</v>
      </c>
      <c r="D76" s="41">
        <v>46143</v>
      </c>
      <c r="E76" s="40" t="s">
        <v>506</v>
      </c>
      <c r="F76" s="40">
        <v>2</v>
      </c>
      <c r="G76" s="42"/>
      <c r="H76" s="42" t="s">
        <v>507</v>
      </c>
    </row>
    <row r="77" spans="2:8" s="31" customFormat="1" ht="12.75" x14ac:dyDescent="0.25">
      <c r="B77" s="39" t="s">
        <v>545</v>
      </c>
      <c r="C77" s="40">
        <v>50023052</v>
      </c>
      <c r="D77" s="41">
        <v>46357</v>
      </c>
      <c r="E77" s="40" t="s">
        <v>506</v>
      </c>
      <c r="F77" s="40">
        <v>1</v>
      </c>
      <c r="G77" s="42"/>
      <c r="H77" s="42" t="s">
        <v>546</v>
      </c>
    </row>
    <row r="78" spans="2:8" s="31" customFormat="1" ht="12.75" x14ac:dyDescent="0.25">
      <c r="B78" s="39" t="s">
        <v>547</v>
      </c>
      <c r="C78" s="40">
        <v>25060122</v>
      </c>
      <c r="D78" s="41">
        <v>46508</v>
      </c>
      <c r="E78" s="40" t="s">
        <v>506</v>
      </c>
      <c r="F78" s="40">
        <v>1</v>
      </c>
      <c r="G78" s="42"/>
      <c r="H78" s="42" t="s">
        <v>546</v>
      </c>
    </row>
    <row r="79" spans="2:8" s="31" customFormat="1" ht="12.75" x14ac:dyDescent="0.25">
      <c r="B79" s="39" t="s">
        <v>548</v>
      </c>
      <c r="C79" s="40" t="s">
        <v>489</v>
      </c>
      <c r="D79" s="41">
        <v>46419</v>
      </c>
      <c r="E79" s="40" t="s">
        <v>506</v>
      </c>
      <c r="F79" s="40">
        <v>1</v>
      </c>
      <c r="G79" s="42"/>
      <c r="H79" s="42" t="s">
        <v>546</v>
      </c>
    </row>
    <row r="80" spans="2:8" s="31" customFormat="1" ht="12.75" x14ac:dyDescent="0.25">
      <c r="B80" s="39" t="s">
        <v>549</v>
      </c>
      <c r="C80" s="40">
        <v>10577</v>
      </c>
      <c r="D80" s="41">
        <v>46388</v>
      </c>
      <c r="E80" s="40" t="s">
        <v>506</v>
      </c>
      <c r="F80" s="40">
        <v>1</v>
      </c>
      <c r="G80" s="42"/>
      <c r="H80" s="42" t="s">
        <v>546</v>
      </c>
    </row>
    <row r="81" spans="2:8" s="31" customFormat="1" x14ac:dyDescent="0.25">
      <c r="B81" s="29" t="s">
        <v>448</v>
      </c>
      <c r="C81" s="40">
        <v>10466</v>
      </c>
      <c r="D81" s="41">
        <v>46327</v>
      </c>
      <c r="E81" s="40" t="s">
        <v>445</v>
      </c>
      <c r="F81" s="40">
        <v>22</v>
      </c>
      <c r="G81" s="42"/>
      <c r="H81" s="42" t="s">
        <v>550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12be-1581-4718-81f8-4180e863aa81">
      <Terms xmlns="http://schemas.microsoft.com/office/infopath/2007/PartnerControls"/>
    </lcf76f155ced4ddcb4097134ff3c332f>
    <TaxCatchAll xmlns="f9eb53b1-bbd0-41be-a7a2-acdd112c2189" xsi:nil="true"/>
    <_dlc_DocId xmlns="f9eb53b1-bbd0-41be-a7a2-acdd112c2189">QMHCPERDKYY4-62296480-133913</_dlc_DocId>
    <_dlc_DocIdUrl xmlns="f9eb53b1-bbd0-41be-a7a2-acdd112c2189">
      <Url>https://opsmile.sharepoint.com/sites/OSBrasil/_layouts/15/DocIdRedir.aspx?ID=QMHCPERDKYY4-62296480-133913</Url>
      <Description>QMHCPERDKYY4-62296480-133913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615096C98F104F8EB696049D8FCC23" ma:contentTypeVersion="18" ma:contentTypeDescription="Create a new document." ma:contentTypeScope="" ma:versionID="5a2a9179f5769c480a8ba96a4cfd7067">
  <xsd:schema xmlns:xsd="http://www.w3.org/2001/XMLSchema" xmlns:xs="http://www.w3.org/2001/XMLSchema" xmlns:p="http://schemas.microsoft.com/office/2006/metadata/properties" xmlns:ns2="f9eb53b1-bbd0-41be-a7a2-acdd112c2189" xmlns:ns3="8afa12be-1581-4718-81f8-4180e863aa81" targetNamespace="http://schemas.microsoft.com/office/2006/metadata/properties" ma:root="true" ma:fieldsID="bfeddd1026d77ae9027c14bed8a4975e" ns2:_="" ns3:_="">
    <xsd:import namespace="f9eb53b1-bbd0-41be-a7a2-acdd112c2189"/>
    <xsd:import namespace="8afa12be-1581-4718-81f8-4180e863aa8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b53b1-bbd0-41be-a7a2-acdd112c218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72fee07-5c90-4533-813d-322e83009c3d}" ma:internalName="TaxCatchAll" ma:showField="CatchAllData" ma:web="f9eb53b1-bbd0-41be-a7a2-acdd112c21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12be-1581-4718-81f8-4180e863a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2a4321e-75cd-4b58-8377-60b274e110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9307C-5FA9-4924-9C97-AE68D573A607}">
  <ds:schemaRefs>
    <ds:schemaRef ds:uri="18264588-0090-4658-aa5d-a58e6cf35134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8afa12be-1581-4718-81f8-4180e863aa81"/>
    <ds:schemaRef ds:uri="f9eb53b1-bbd0-41be-a7a2-acdd112c2189"/>
  </ds:schemaRefs>
</ds:datastoreItem>
</file>

<file path=customXml/itemProps2.xml><?xml version="1.0" encoding="utf-8"?>
<ds:datastoreItem xmlns:ds="http://schemas.openxmlformats.org/officeDocument/2006/customXml" ds:itemID="{14B0992F-AE52-403D-A0FB-EAA9EFC05A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4E4BD5-71CA-4A16-B292-BF2A7BD4F4F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013C522-9427-4F0D-88BA-9D446C4D5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eb53b1-bbd0-41be-a7a2-acdd112c2189"/>
    <ds:schemaRef ds:uri="8afa12be-1581-4718-81f8-4180e863a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</vt:lpstr>
      <vt:lpstr>Tabela padrão - Suprimentos méd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Coordenação de Suprimentos</dc:creator>
  <cp:lastModifiedBy>Coordenação de Suprimentos</cp:lastModifiedBy>
  <dcterms:created xsi:type="dcterms:W3CDTF">2019-04-09T18:11:13Z</dcterms:created>
  <dcterms:modified xsi:type="dcterms:W3CDTF">2026-08-03T19:51:30Z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0x01010074615096C98F104F8EB696049D8FCC23</vt:lpwstr>
  </property>
  <property fmtid="{D5CDD505-2E9C-101B-9397-08002B2CF9AE}" pid="3" name="_dlc_DocIdItemGuid">
    <vt:lpwstr>20445537-46aa-4216-a88e-d8a95c89f698</vt:lpwstr>
  </property>
  <property fmtid="{D5CDD505-2E9C-101B-9397-08002B2CF9AE}" pid="4" name="MediaServiceImageTags">
    <vt:lpwstr/>
  </property>
  <property fmtid="{D5CDD505-2E9C-101B-9397-08002B2CF9AE}" pid="5" name="MSIP_Label_3101a9c8-ef71-45dc-a7eb-6586a9826b1a_Enabled">
    <vt:lpwstr>true</vt:lpwstr>
  </property>
  <property fmtid="{D5CDD505-2E9C-101B-9397-08002B2CF9AE}" pid="6" name="MSIP_Label_3101a9c8-ef71-45dc-a7eb-6586a9826b1a_SetDate">
    <vt:lpwstr>2022-10-25T13:55:36Z</vt:lpwstr>
  </property>
  <property fmtid="{D5CDD505-2E9C-101B-9397-08002B2CF9AE}" pid="7" name="MSIP_Label_3101a9c8-ef71-45dc-a7eb-6586a9826b1a_Method">
    <vt:lpwstr>Standard</vt:lpwstr>
  </property>
  <property fmtid="{D5CDD505-2E9C-101B-9397-08002B2CF9AE}" pid="8" name="MSIP_Label_3101a9c8-ef71-45dc-a7eb-6586a9826b1a_Name">
    <vt:lpwstr>3101a9c8-ef71-45dc-a7eb-6586a9826b1a</vt:lpwstr>
  </property>
  <property fmtid="{D5CDD505-2E9C-101B-9397-08002B2CF9AE}" pid="9" name="MSIP_Label_3101a9c8-ef71-45dc-a7eb-6586a9826b1a_SiteId">
    <vt:lpwstr>d6b6b690-08af-4e14-bab6-f83cef2c16e0</vt:lpwstr>
  </property>
  <property fmtid="{D5CDD505-2E9C-101B-9397-08002B2CF9AE}" pid="10" name="MSIP_Label_3101a9c8-ef71-45dc-a7eb-6586a9826b1a_ActionId">
    <vt:lpwstr>5afb6e14-db24-435f-b0e9-33e682586441</vt:lpwstr>
  </property>
  <property fmtid="{D5CDD505-2E9C-101B-9397-08002B2CF9AE}" pid="11" name="MSIP_Label_3101a9c8-ef71-45dc-a7eb-6586a9826b1a_ContentBits">
    <vt:lpwstr>0</vt:lpwstr>
  </property>
</Properties>
</file>